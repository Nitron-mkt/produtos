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ções" sheetId="1" state="visible" r:id="rId1"/>
    <sheet name="Amostras" sheetId="2" state="visible" r:id="rId2"/>
    <sheet name="E1-Vazamento" sheetId="3" state="visible" r:id="rId3"/>
    <sheet name="E2-Vapor 7d" sheetId="4" state="visible" r:id="rId4"/>
    <sheet name="Travas" sheetId="5" state="visible" r:id="rId5"/>
    <sheet name="E3-E4-E5 Durabilidade" sheetId="6" state="visible" r:id="rId6"/>
    <sheet name="Resumo"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R$ #,##0"/>
  </numFmts>
  <fonts count="9">
    <font>
      <name val="Calibri"/>
      <family val="2"/>
      <color theme="1"/>
      <sz val="11"/>
      <scheme val="minor"/>
    </font>
    <font>
      <name val="Arial"/>
      <b val="1"/>
      <color rgb="00FFFFFF"/>
      <sz val="14"/>
    </font>
    <font>
      <name val="Arial"/>
      <i val="1"/>
      <color rgb="00808080"/>
      <sz val="10"/>
    </font>
    <font>
      <name val="Arial"/>
      <sz val="10"/>
    </font>
    <font>
      <name val="Arial"/>
      <b val="1"/>
      <color rgb="001F3864"/>
      <sz val="11"/>
    </font>
    <font>
      <name val="Arial"/>
      <b val="1"/>
      <sz val="10"/>
    </font>
    <font>
      <name val="Arial"/>
      <b val="1"/>
      <color rgb="00FFFFFF"/>
      <sz val="11"/>
    </font>
    <font>
      <name val="Arial"/>
      <color rgb="000000FF"/>
      <sz val="10"/>
    </font>
    <font>
      <name val="Arial"/>
      <b val="1"/>
      <color rgb="001F3864"/>
      <sz val="12"/>
    </font>
  </fonts>
  <fills count="8">
    <fill>
      <patternFill/>
    </fill>
    <fill>
      <patternFill patternType="gray125"/>
    </fill>
    <fill>
      <patternFill patternType="solid">
        <fgColor rgb="001F3864"/>
      </patternFill>
    </fill>
    <fill>
      <patternFill patternType="solid">
        <fgColor rgb="00FFFF00"/>
      </patternFill>
    </fill>
    <fill>
      <patternFill patternType="solid">
        <fgColor rgb="00E2EFDA"/>
      </patternFill>
    </fill>
    <fill>
      <patternFill patternType="solid">
        <fgColor rgb="004472C4"/>
      </patternFill>
    </fill>
    <fill>
      <patternFill patternType="solid">
        <fgColor rgb="00FCE4D6"/>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3" borderId="1" pivotButton="0" quotePrefix="0" xfId="0"/>
    <xf numFmtId="0" fontId="0" fillId="4" borderId="1" pivotButton="0" quotePrefix="0" xfId="0"/>
    <xf numFmtId="0" fontId="6" fillId="5" borderId="1" applyAlignment="1" pivotButton="0" quotePrefix="0" xfId="0">
      <alignment horizontal="center" vertical="center" wrapText="1"/>
    </xf>
    <xf numFmtId="0" fontId="5" fillId="0" borderId="1" pivotButton="0" quotePrefix="0" xfId="0"/>
    <xf numFmtId="0" fontId="3" fillId="0" borderId="1" pivotButton="0" quotePrefix="0" xfId="0"/>
    <xf numFmtId="0" fontId="2" fillId="3" borderId="1" pivotButton="0" quotePrefix="0" xfId="0"/>
    <xf numFmtId="0" fontId="7" fillId="3" borderId="1" pivotButton="0" quotePrefix="0" xfId="0"/>
    <xf numFmtId="0" fontId="5" fillId="6" borderId="1" pivotButton="0" quotePrefix="0" xfId="0"/>
    <xf numFmtId="2" fontId="3" fillId="0" borderId="1" pivotButton="0" quotePrefix="0" xfId="0"/>
    <xf numFmtId="0" fontId="5" fillId="4" borderId="1" applyAlignment="1" pivotButton="0" quotePrefix="0" xfId="0">
      <alignment horizontal="center"/>
    </xf>
    <xf numFmtId="0" fontId="5" fillId="4" borderId="0" pivotButton="0" quotePrefix="0" xfId="0"/>
    <xf numFmtId="164" fontId="5" fillId="4" borderId="0" pivotButton="0" quotePrefix="0" xfId="0"/>
    <xf numFmtId="2" fontId="0" fillId="0" borderId="1" pivotButton="0" quotePrefix="0" xfId="0"/>
    <xf numFmtId="0" fontId="5" fillId="4" borderId="1" pivotButton="0" quotePrefix="0" xfId="0"/>
    <xf numFmtId="0" fontId="5" fillId="7" borderId="0" pivotButton="0" quotePrefix="0" xfId="0"/>
    <xf numFmtId="0" fontId="2" fillId="0" borderId="1" pivotButton="0" quotePrefix="0" xfId="0"/>
    <xf numFmtId="165" fontId="0" fillId="0" borderId="1" pivotButton="0" quotePrefix="0" xfId="0"/>
    <xf numFmtId="0" fontId="4" fillId="7" borderId="0" pivotButton="0" quotePrefix="0" xfId="0"/>
    <xf numFmtId="3" fontId="3" fillId="0" borderId="1" pivotButton="0" quotePrefix="0" xfId="0"/>
    <xf numFmtId="166" fontId="3" fillId="0" borderId="1" pivotButton="0" quotePrefix="0" xfId="0"/>
    <xf numFmtId="0" fontId="5" fillId="7" borderId="1" pivotButton="0" quotePrefix="0" xfId="0"/>
    <xf numFmtId="0" fontId="0" fillId="7" borderId="1" pivotButton="0" quotePrefix="0" xfId="0"/>
    <xf numFmtId="3" fontId="5" fillId="7" borderId="1" pivotButton="0" quotePrefix="0" xfId="0"/>
    <xf numFmtId="166" fontId="5" fillId="7" borderId="1"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4" customWidth="1" min="1" max="1"/>
    <col width="26" customWidth="1" min="2" max="2"/>
    <col width="15" customWidth="1" min="3" max="3"/>
    <col width="15" customWidth="1" min="4" max="4"/>
    <col width="15" customWidth="1" min="5" max="5"/>
    <col width="15" customWidth="1" min="6" max="6"/>
    <col width="15" customWidth="1" min="7" max="7"/>
    <col width="20" customWidth="1" min="8" max="8"/>
  </cols>
  <sheetData>
    <row r="1" ht="26" customHeight="1">
      <c r="A1" s="1" t="inlineStr">
        <is>
          <t>PROTOCOLO DE ENSAIO DE ESTANQUEIDADE — LINHA POTE ALTO COM TRAVAS</t>
        </is>
      </c>
    </row>
    <row r="2" ht="15" customHeight="1">
      <c r="A2" s="2" t="inlineStr">
        <is>
          <t>Nitron · Desenvolvimento de Produtos · versão 1.0 — 06/09/2026</t>
        </is>
      </c>
    </row>
    <row r="4">
      <c r="B4" s="3" t="inlineStr"/>
    </row>
    <row r="5">
      <c r="B5" s="4" t="inlineStr">
        <is>
          <t>POR QUE ESTE ENSAIO EXISTE</t>
        </is>
      </c>
    </row>
    <row r="6">
      <c r="B6" s="3" t="inlineStr">
        <is>
          <t>A Nitron já imprime "POTE HERMÉTICO" em quatro etiquetas BOPP ativas, compradas em 01/04/2026,</t>
        </is>
      </c>
    </row>
    <row r="7">
      <c r="B7" s="3" t="inlineStr">
        <is>
          <t>para as refs 151, 154, 155 e 156. Não há nenhum ensaio documentado no ERP que sustente a alegação.</t>
        </is>
      </c>
    </row>
    <row r="8">
      <c r="B8" s="3" t="inlineStr">
        <is>
          <t>O art. 36 do CDC exige que os dados técnicos que sustentam a alegação estejam em poder do fornecedor.</t>
        </is>
      </c>
    </row>
    <row r="9">
      <c r="B9" s="3" t="inlineStr"/>
    </row>
    <row r="10">
      <c r="B10" s="5" t="inlineStr">
        <is>
          <t>Este protocolo mede o PRODUTO ATUAL, como sai da linha hoje, sem nenhuma modificação.</t>
        </is>
      </c>
    </row>
    <row r="11">
      <c r="B11" s="3" t="inlineStr"/>
    </row>
    <row r="12">
      <c r="B12" s="3" t="inlineStr">
        <is>
          <t>Exposição das 4 referências: R$ 822.629 em 12 meses, de 562 a 971 clientes cada.</t>
        </is>
      </c>
    </row>
    <row r="13">
      <c r="B13" s="3" t="inlineStr"/>
    </row>
    <row r="14">
      <c r="B14" s="4" t="inlineStr">
        <is>
          <t>OS TRÊS DESFECHOS</t>
        </is>
      </c>
    </row>
    <row r="15">
      <c r="B15" s="3" t="inlineStr">
        <is>
          <t>1. Passa em tudo  →  o claim impresso ganha lastro documental. Arquivar esta planilha assinada.</t>
        </is>
      </c>
    </row>
    <row r="16">
      <c r="B16" s="3" t="inlineStr">
        <is>
          <t>2. Passa no E1 e falha no E2  →  trocar a arte para "NÃO VAZA" na próxima tiragem de etiqueta.</t>
        </is>
      </c>
    </row>
    <row r="17">
      <c r="B17" s="3" t="inlineStr">
        <is>
          <t>3. Falha no E1  →  problema de conformidade corrente. Escalar para Qualidade/Regulatório hoje.</t>
        </is>
      </c>
    </row>
    <row r="18">
      <c r="B18" s="3" t="inlineStr"/>
    </row>
    <row r="19">
      <c r="B19" s="4" t="inlineStr">
        <is>
          <t>MATERIAL NECESSÁRIO</t>
        </is>
      </c>
    </row>
    <row r="20">
      <c r="B20" s="3" t="inlineStr">
        <is>
          <t>Balança de precisão 0,01 g  ·  estufa regulável a 40 °C  ·  paquímetro  ·  dinamômetro de gancho 0–100 N</t>
        </is>
      </c>
    </row>
    <row r="21">
      <c r="B21" s="3" t="inlineStr">
        <is>
          <t>Corante alimentício  ·  papel-toalha branco  ·  lava-louças doméstica  ·  folha de alumínio + epóxi (referência selada)</t>
        </is>
      </c>
    </row>
    <row r="22">
      <c r="B22" s="3" t="inlineStr">
        <is>
          <t>Para o ensaio da trava (aba Travas): 3 m de perfil de vedação de esquadria 1,5 mm + fita dupla-face fina — loja de material de construção, ~R$ 200.</t>
        </is>
      </c>
    </row>
    <row r="23">
      <c r="B23" s="3" t="inlineStr"/>
    </row>
    <row r="24">
      <c r="B24" s="4" t="inlineStr">
        <is>
          <t>AMOSTRAGEM</t>
        </is>
      </c>
    </row>
    <row r="25">
      <c r="B25" s="3" t="inlineStr">
        <is>
          <t>10 conjuntos por referência, de 3 lotes de produção em datas distintas.</t>
        </is>
      </c>
    </row>
    <row r="26">
      <c r="B26" s="3" t="inlineStr">
        <is>
          <t>Se o molde for multicavidade, balancear entre cavidades e anotar qual.</t>
        </is>
      </c>
    </row>
    <row r="27">
      <c r="B27" s="3" t="inlineStr">
        <is>
          <t>Corpo e tampa emparelhados como o consumidor recebe.</t>
        </is>
      </c>
    </row>
    <row r="28">
      <c r="B28" s="3" t="inlineStr"/>
    </row>
    <row r="29">
      <c r="B29" s="4" t="inlineStr">
        <is>
          <t>CONTROLE NEGATIVO — OBRIGATÓRIO</t>
        </is>
      </c>
    </row>
    <row r="30">
      <c r="B30" s="5" t="inlineStr">
        <is>
          <t>2 conjuntos por referência com UMA TRAVA PROPOSITALMENTE ABERTA (linhas marcadas CTRL na aba Amostras).</t>
        </is>
      </c>
    </row>
    <row r="31">
      <c r="B31" s="5" t="inlineStr">
        <is>
          <t>Se o controle negativo NÃO vazar, o método não detecta nada e o resultado inteiro é inválido.</t>
        </is>
      </c>
    </row>
    <row r="32">
      <c r="B32" s="3" t="inlineStr"/>
    </row>
    <row r="33">
      <c r="B33" s="4" t="inlineStr">
        <is>
          <t>LEGENDA</t>
        </is>
      </c>
    </row>
    <row r="34">
      <c r="B34" s="3" t="inlineStr"/>
    </row>
    <row r="35">
      <c r="B35" s="6" t="inlineStr">
        <is>
          <t>  </t>
        </is>
      </c>
      <c r="C35" s="3" t="inlineStr">
        <is>
          <t>célula a preencher na bancada</t>
        </is>
      </c>
    </row>
    <row r="36">
      <c r="B36" s="7" t="inlineStr">
        <is>
          <t>  </t>
        </is>
      </c>
      <c r="C36" s="3" t="inlineStr">
        <is>
          <t>veredito calculado — não digitar, a planilha preenche</t>
        </is>
      </c>
    </row>
    <row r="38">
      <c r="B38" s="5" t="inlineStr">
        <is>
          <t>Responsável pelo ensaio:</t>
        </is>
      </c>
      <c r="D38" s="6" t="inlineStr"/>
    </row>
    <row r="39">
      <c r="B39" s="5" t="inlineStr">
        <is>
          <t>Data de início:</t>
        </is>
      </c>
      <c r="D39" s="6" t="inlineStr"/>
    </row>
    <row r="40">
      <c r="B40" s="5" t="inlineStr">
        <is>
          <t>Assinatura:</t>
        </is>
      </c>
      <c r="D40" s="6" t="inlineStr"/>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2"/>
  <sheetViews>
    <sheetView workbookViewId="0">
      <pane ySplit="4" topLeftCell="A5" activePane="bottomLeft" state="frozen"/>
      <selection pane="bottomLeft" activeCell="A1" sqref="A1"/>
    </sheetView>
  </sheetViews>
  <sheetFormatPr baseColWidth="8" defaultRowHeight="15"/>
  <cols>
    <col width="14" customWidth="1" min="1" max="1"/>
    <col width="15" customWidth="1" min="2" max="2"/>
    <col width="14" customWidth="1" min="3" max="3"/>
    <col width="10" customWidth="1" min="4" max="4"/>
    <col width="14" customWidth="1" min="5" max="5"/>
    <col width="14" customWidth="1" min="6" max="6"/>
    <col width="11" customWidth="1" min="7" max="7"/>
    <col width="13" customWidth="1" min="8" max="8"/>
    <col width="11" customWidth="1" min="9" max="9"/>
  </cols>
  <sheetData>
    <row r="1" ht="26" customHeight="1">
      <c r="A1" s="1" t="inlineStr">
        <is>
          <t>IDENTIFICAÇÃO DAS AMOSTRAS</t>
        </is>
      </c>
    </row>
    <row r="2" ht="15" customHeight="1">
      <c r="A2" s="2" t="inlineStr">
        <is>
          <t>Preencher ANTES de começar. Cada linha é um conjunto corpo+tampa. CTRL = controle negativo, uma trava aberta de propósito.</t>
        </is>
      </c>
    </row>
    <row r="4" ht="30" customHeight="1">
      <c r="A4" s="8" t="inlineStr">
        <is>
          <t>ID amostra</t>
        </is>
      </c>
      <c r="B4" s="8" t="inlineStr">
        <is>
          <t>Referência</t>
        </is>
      </c>
      <c r="C4" s="8" t="inlineStr">
        <is>
          <t>Produto</t>
        </is>
      </c>
      <c r="D4" s="8" t="inlineStr">
        <is>
          <t>Etiqueta</t>
        </is>
      </c>
      <c r="E4" s="8" t="inlineStr">
        <is>
          <t>Lote</t>
        </is>
      </c>
      <c r="F4" s="8" t="inlineStr">
        <is>
          <t>Data injeção</t>
        </is>
      </c>
      <c r="G4" s="8" t="inlineStr">
        <is>
          <t>Cavidade</t>
        </is>
      </c>
      <c r="H4" s="8" t="inlineStr">
        <is>
          <t>Cor</t>
        </is>
      </c>
      <c r="I4" s="8" t="inlineStr">
        <is>
          <t>Tipo</t>
        </is>
      </c>
    </row>
    <row r="5">
      <c r="A5" s="9" t="inlineStr">
        <is>
          <t>151-01</t>
        </is>
      </c>
      <c r="B5" s="10" t="inlineStr">
        <is>
          <t>151.012.001</t>
        </is>
      </c>
      <c r="C5" s="10" t="inlineStr">
        <is>
          <t>Alto 4,3 L</t>
        </is>
      </c>
      <c r="D5" s="10" t="inlineStr">
        <is>
          <t>1535</t>
        </is>
      </c>
      <c r="E5" s="11" t="inlineStr">
        <is>
          <t>L2609-A</t>
        </is>
      </c>
      <c r="F5" s="11" t="inlineStr">
        <is>
          <t>01/09/2026</t>
        </is>
      </c>
      <c r="G5" s="11" t="inlineStr">
        <is>
          <t>1</t>
        </is>
      </c>
      <c r="H5" s="11" t="inlineStr">
        <is>
          <t>transparente</t>
        </is>
      </c>
      <c r="I5" s="10" t="inlineStr">
        <is>
          <t>ensaio</t>
        </is>
      </c>
      <c r="J5" s="2" t="inlineStr">
        <is>
          <t>← linha de exemplo: apague e preencha com o dado real</t>
        </is>
      </c>
    </row>
    <row r="6">
      <c r="A6" s="9" t="inlineStr">
        <is>
          <t>151-02</t>
        </is>
      </c>
      <c r="B6" s="10" t="inlineStr">
        <is>
          <t>151.012.001</t>
        </is>
      </c>
      <c r="C6" s="10" t="inlineStr">
        <is>
          <t>Alto 4,3 L</t>
        </is>
      </c>
      <c r="D6" s="10" t="inlineStr">
        <is>
          <t>1535</t>
        </is>
      </c>
      <c r="E6" s="12" t="n"/>
      <c r="F6" s="12" t="n"/>
      <c r="G6" s="12" t="n"/>
      <c r="H6" s="12" t="n"/>
      <c r="I6" s="10" t="inlineStr">
        <is>
          <t>ensaio</t>
        </is>
      </c>
    </row>
    <row r="7">
      <c r="A7" s="9" t="inlineStr">
        <is>
          <t>151-03</t>
        </is>
      </c>
      <c r="B7" s="10" t="inlineStr">
        <is>
          <t>151.012.001</t>
        </is>
      </c>
      <c r="C7" s="10" t="inlineStr">
        <is>
          <t>Alto 4,3 L</t>
        </is>
      </c>
      <c r="D7" s="10" t="inlineStr">
        <is>
          <t>1535</t>
        </is>
      </c>
      <c r="E7" s="12" t="n"/>
      <c r="F7" s="12" t="n"/>
      <c r="G7" s="12" t="n"/>
      <c r="H7" s="12" t="n"/>
      <c r="I7" s="10" t="inlineStr">
        <is>
          <t>ensaio</t>
        </is>
      </c>
    </row>
    <row r="8">
      <c r="A8" s="9" t="inlineStr">
        <is>
          <t>151-04</t>
        </is>
      </c>
      <c r="B8" s="10" t="inlineStr">
        <is>
          <t>151.012.001</t>
        </is>
      </c>
      <c r="C8" s="10" t="inlineStr">
        <is>
          <t>Alto 4,3 L</t>
        </is>
      </c>
      <c r="D8" s="10" t="inlineStr">
        <is>
          <t>1535</t>
        </is>
      </c>
      <c r="E8" s="12" t="n"/>
      <c r="F8" s="12" t="n"/>
      <c r="G8" s="12" t="n"/>
      <c r="H8" s="12" t="n"/>
      <c r="I8" s="10" t="inlineStr">
        <is>
          <t>ensaio</t>
        </is>
      </c>
    </row>
    <row r="9">
      <c r="A9" s="9" t="inlineStr">
        <is>
          <t>151-05</t>
        </is>
      </c>
      <c r="B9" s="10" t="inlineStr">
        <is>
          <t>151.012.001</t>
        </is>
      </c>
      <c r="C9" s="10" t="inlineStr">
        <is>
          <t>Alto 4,3 L</t>
        </is>
      </c>
      <c r="D9" s="10" t="inlineStr">
        <is>
          <t>1535</t>
        </is>
      </c>
      <c r="E9" s="12" t="n"/>
      <c r="F9" s="12" t="n"/>
      <c r="G9" s="12" t="n"/>
      <c r="H9" s="12" t="n"/>
      <c r="I9" s="10" t="inlineStr">
        <is>
          <t>ensaio</t>
        </is>
      </c>
    </row>
    <row r="10">
      <c r="A10" s="9" t="inlineStr">
        <is>
          <t>151-06</t>
        </is>
      </c>
      <c r="B10" s="10" t="inlineStr">
        <is>
          <t>151.012.001</t>
        </is>
      </c>
      <c r="C10" s="10" t="inlineStr">
        <is>
          <t>Alto 4,3 L</t>
        </is>
      </c>
      <c r="D10" s="10" t="inlineStr">
        <is>
          <t>1535</t>
        </is>
      </c>
      <c r="E10" s="12" t="n"/>
      <c r="F10" s="12" t="n"/>
      <c r="G10" s="12" t="n"/>
      <c r="H10" s="12" t="n"/>
      <c r="I10" s="10" t="inlineStr">
        <is>
          <t>ensaio</t>
        </is>
      </c>
    </row>
    <row r="11">
      <c r="A11" s="9" t="inlineStr">
        <is>
          <t>151-07</t>
        </is>
      </c>
      <c r="B11" s="10" t="inlineStr">
        <is>
          <t>151.012.001</t>
        </is>
      </c>
      <c r="C11" s="10" t="inlineStr">
        <is>
          <t>Alto 4,3 L</t>
        </is>
      </c>
      <c r="D11" s="10" t="inlineStr">
        <is>
          <t>1535</t>
        </is>
      </c>
      <c r="E11" s="12" t="n"/>
      <c r="F11" s="12" t="n"/>
      <c r="G11" s="12" t="n"/>
      <c r="H11" s="12" t="n"/>
      <c r="I11" s="10" t="inlineStr">
        <is>
          <t>ensaio</t>
        </is>
      </c>
    </row>
    <row r="12">
      <c r="A12" s="9" t="inlineStr">
        <is>
          <t>151-08</t>
        </is>
      </c>
      <c r="B12" s="10" t="inlineStr">
        <is>
          <t>151.012.001</t>
        </is>
      </c>
      <c r="C12" s="10" t="inlineStr">
        <is>
          <t>Alto 4,3 L</t>
        </is>
      </c>
      <c r="D12" s="10" t="inlineStr">
        <is>
          <t>1535</t>
        </is>
      </c>
      <c r="E12" s="12" t="n"/>
      <c r="F12" s="12" t="n"/>
      <c r="G12" s="12" t="n"/>
      <c r="H12" s="12" t="n"/>
      <c r="I12" s="10" t="inlineStr">
        <is>
          <t>ensaio</t>
        </is>
      </c>
    </row>
    <row r="13">
      <c r="A13" s="9" t="inlineStr">
        <is>
          <t>151-09</t>
        </is>
      </c>
      <c r="B13" s="10" t="inlineStr">
        <is>
          <t>151.012.001</t>
        </is>
      </c>
      <c r="C13" s="10" t="inlineStr">
        <is>
          <t>Alto 4,3 L</t>
        </is>
      </c>
      <c r="D13" s="10" t="inlineStr">
        <is>
          <t>1535</t>
        </is>
      </c>
      <c r="E13" s="12" t="n"/>
      <c r="F13" s="12" t="n"/>
      <c r="G13" s="12" t="n"/>
      <c r="H13" s="12" t="n"/>
      <c r="I13" s="10" t="inlineStr">
        <is>
          <t>ensaio</t>
        </is>
      </c>
    </row>
    <row r="14">
      <c r="A14" s="9" t="inlineStr">
        <is>
          <t>151-10</t>
        </is>
      </c>
      <c r="B14" s="10" t="inlineStr">
        <is>
          <t>151.012.001</t>
        </is>
      </c>
      <c r="C14" s="10" t="inlineStr">
        <is>
          <t>Alto 4,3 L</t>
        </is>
      </c>
      <c r="D14" s="10" t="inlineStr">
        <is>
          <t>1535</t>
        </is>
      </c>
      <c r="E14" s="12" t="n"/>
      <c r="F14" s="12" t="n"/>
      <c r="G14" s="12" t="n"/>
      <c r="H14" s="12" t="n"/>
      <c r="I14" s="10" t="inlineStr">
        <is>
          <t>ensaio</t>
        </is>
      </c>
    </row>
    <row r="15">
      <c r="A15" s="9" t="inlineStr">
        <is>
          <t>151-11</t>
        </is>
      </c>
      <c r="B15" s="10" t="inlineStr">
        <is>
          <t>151.012.001</t>
        </is>
      </c>
      <c r="C15" s="10" t="inlineStr">
        <is>
          <t>Alto 4,3 L</t>
        </is>
      </c>
      <c r="D15" s="10" t="inlineStr">
        <is>
          <t>1535</t>
        </is>
      </c>
      <c r="E15" s="12" t="n"/>
      <c r="F15" s="12" t="n"/>
      <c r="G15" s="12" t="n"/>
      <c r="H15" s="12" t="n"/>
      <c r="I15" s="13" t="inlineStr">
        <is>
          <t>CTRL</t>
        </is>
      </c>
    </row>
    <row r="16">
      <c r="A16" s="9" t="inlineStr">
        <is>
          <t>151-12</t>
        </is>
      </c>
      <c r="B16" s="10" t="inlineStr">
        <is>
          <t>151.012.001</t>
        </is>
      </c>
      <c r="C16" s="10" t="inlineStr">
        <is>
          <t>Alto 4,3 L</t>
        </is>
      </c>
      <c r="D16" s="10" t="inlineStr">
        <is>
          <t>1535</t>
        </is>
      </c>
      <c r="E16" s="12" t="n"/>
      <c r="F16" s="12" t="n"/>
      <c r="G16" s="12" t="n"/>
      <c r="H16" s="12" t="n"/>
      <c r="I16" s="13" t="inlineStr">
        <is>
          <t>CTRL</t>
        </is>
      </c>
    </row>
    <row r="17">
      <c r="A17" s="9" t="inlineStr">
        <is>
          <t>154-01</t>
        </is>
      </c>
      <c r="B17" s="10" t="inlineStr">
        <is>
          <t>154.012.001</t>
        </is>
      </c>
      <c r="C17" s="10" t="inlineStr">
        <is>
          <t>Alto 460 ml</t>
        </is>
      </c>
      <c r="D17" s="10" t="inlineStr">
        <is>
          <t>1070</t>
        </is>
      </c>
      <c r="E17" s="12" t="n"/>
      <c r="F17" s="12" t="n"/>
      <c r="G17" s="12" t="n"/>
      <c r="H17" s="12" t="n"/>
      <c r="I17" s="10" t="inlineStr">
        <is>
          <t>ensaio</t>
        </is>
      </c>
    </row>
    <row r="18">
      <c r="A18" s="9" t="inlineStr">
        <is>
          <t>154-02</t>
        </is>
      </c>
      <c r="B18" s="10" t="inlineStr">
        <is>
          <t>154.012.001</t>
        </is>
      </c>
      <c r="C18" s="10" t="inlineStr">
        <is>
          <t>Alto 460 ml</t>
        </is>
      </c>
      <c r="D18" s="10" t="inlineStr">
        <is>
          <t>1070</t>
        </is>
      </c>
      <c r="E18" s="12" t="n"/>
      <c r="F18" s="12" t="n"/>
      <c r="G18" s="12" t="n"/>
      <c r="H18" s="12" t="n"/>
      <c r="I18" s="10" t="inlineStr">
        <is>
          <t>ensaio</t>
        </is>
      </c>
    </row>
    <row r="19">
      <c r="A19" s="9" t="inlineStr">
        <is>
          <t>154-03</t>
        </is>
      </c>
      <c r="B19" s="10" t="inlineStr">
        <is>
          <t>154.012.001</t>
        </is>
      </c>
      <c r="C19" s="10" t="inlineStr">
        <is>
          <t>Alto 460 ml</t>
        </is>
      </c>
      <c r="D19" s="10" t="inlineStr">
        <is>
          <t>1070</t>
        </is>
      </c>
      <c r="E19" s="12" t="n"/>
      <c r="F19" s="12" t="n"/>
      <c r="G19" s="12" t="n"/>
      <c r="H19" s="12" t="n"/>
      <c r="I19" s="10" t="inlineStr">
        <is>
          <t>ensaio</t>
        </is>
      </c>
    </row>
    <row r="20">
      <c r="A20" s="9" t="inlineStr">
        <is>
          <t>154-04</t>
        </is>
      </c>
      <c r="B20" s="10" t="inlineStr">
        <is>
          <t>154.012.001</t>
        </is>
      </c>
      <c r="C20" s="10" t="inlineStr">
        <is>
          <t>Alto 460 ml</t>
        </is>
      </c>
      <c r="D20" s="10" t="inlineStr">
        <is>
          <t>1070</t>
        </is>
      </c>
      <c r="E20" s="12" t="n"/>
      <c r="F20" s="12" t="n"/>
      <c r="G20" s="12" t="n"/>
      <c r="H20" s="12" t="n"/>
      <c r="I20" s="10" t="inlineStr">
        <is>
          <t>ensaio</t>
        </is>
      </c>
    </row>
    <row r="21">
      <c r="A21" s="9" t="inlineStr">
        <is>
          <t>154-05</t>
        </is>
      </c>
      <c r="B21" s="10" t="inlineStr">
        <is>
          <t>154.012.001</t>
        </is>
      </c>
      <c r="C21" s="10" t="inlineStr">
        <is>
          <t>Alto 460 ml</t>
        </is>
      </c>
      <c r="D21" s="10" t="inlineStr">
        <is>
          <t>1070</t>
        </is>
      </c>
      <c r="E21" s="12" t="n"/>
      <c r="F21" s="12" t="n"/>
      <c r="G21" s="12" t="n"/>
      <c r="H21" s="12" t="n"/>
      <c r="I21" s="10" t="inlineStr">
        <is>
          <t>ensaio</t>
        </is>
      </c>
    </row>
    <row r="22">
      <c r="A22" s="9" t="inlineStr">
        <is>
          <t>154-06</t>
        </is>
      </c>
      <c r="B22" s="10" t="inlineStr">
        <is>
          <t>154.012.001</t>
        </is>
      </c>
      <c r="C22" s="10" t="inlineStr">
        <is>
          <t>Alto 460 ml</t>
        </is>
      </c>
      <c r="D22" s="10" t="inlineStr">
        <is>
          <t>1070</t>
        </is>
      </c>
      <c r="E22" s="12" t="n"/>
      <c r="F22" s="12" t="n"/>
      <c r="G22" s="12" t="n"/>
      <c r="H22" s="12" t="n"/>
      <c r="I22" s="10" t="inlineStr">
        <is>
          <t>ensaio</t>
        </is>
      </c>
    </row>
    <row r="23">
      <c r="A23" s="9" t="inlineStr">
        <is>
          <t>154-07</t>
        </is>
      </c>
      <c r="B23" s="10" t="inlineStr">
        <is>
          <t>154.012.001</t>
        </is>
      </c>
      <c r="C23" s="10" t="inlineStr">
        <is>
          <t>Alto 460 ml</t>
        </is>
      </c>
      <c r="D23" s="10" t="inlineStr">
        <is>
          <t>1070</t>
        </is>
      </c>
      <c r="E23" s="12" t="n"/>
      <c r="F23" s="12" t="n"/>
      <c r="G23" s="12" t="n"/>
      <c r="H23" s="12" t="n"/>
      <c r="I23" s="10" t="inlineStr">
        <is>
          <t>ensaio</t>
        </is>
      </c>
    </row>
    <row r="24">
      <c r="A24" s="9" t="inlineStr">
        <is>
          <t>154-08</t>
        </is>
      </c>
      <c r="B24" s="10" t="inlineStr">
        <is>
          <t>154.012.001</t>
        </is>
      </c>
      <c r="C24" s="10" t="inlineStr">
        <is>
          <t>Alto 460 ml</t>
        </is>
      </c>
      <c r="D24" s="10" t="inlineStr">
        <is>
          <t>1070</t>
        </is>
      </c>
      <c r="E24" s="12" t="n"/>
      <c r="F24" s="12" t="n"/>
      <c r="G24" s="12" t="n"/>
      <c r="H24" s="12" t="n"/>
      <c r="I24" s="10" t="inlineStr">
        <is>
          <t>ensaio</t>
        </is>
      </c>
    </row>
    <row r="25">
      <c r="A25" s="9" t="inlineStr">
        <is>
          <t>154-09</t>
        </is>
      </c>
      <c r="B25" s="10" t="inlineStr">
        <is>
          <t>154.012.001</t>
        </is>
      </c>
      <c r="C25" s="10" t="inlineStr">
        <is>
          <t>Alto 460 ml</t>
        </is>
      </c>
      <c r="D25" s="10" t="inlineStr">
        <is>
          <t>1070</t>
        </is>
      </c>
      <c r="E25" s="12" t="n"/>
      <c r="F25" s="12" t="n"/>
      <c r="G25" s="12" t="n"/>
      <c r="H25" s="12" t="n"/>
      <c r="I25" s="10" t="inlineStr">
        <is>
          <t>ensaio</t>
        </is>
      </c>
    </row>
    <row r="26">
      <c r="A26" s="9" t="inlineStr">
        <is>
          <t>154-10</t>
        </is>
      </c>
      <c r="B26" s="10" t="inlineStr">
        <is>
          <t>154.012.001</t>
        </is>
      </c>
      <c r="C26" s="10" t="inlineStr">
        <is>
          <t>Alto 460 ml</t>
        </is>
      </c>
      <c r="D26" s="10" t="inlineStr">
        <is>
          <t>1070</t>
        </is>
      </c>
      <c r="E26" s="12" t="n"/>
      <c r="F26" s="12" t="n"/>
      <c r="G26" s="12" t="n"/>
      <c r="H26" s="12" t="n"/>
      <c r="I26" s="10" t="inlineStr">
        <is>
          <t>ensaio</t>
        </is>
      </c>
    </row>
    <row r="27">
      <c r="A27" s="9" t="inlineStr">
        <is>
          <t>154-11</t>
        </is>
      </c>
      <c r="B27" s="10" t="inlineStr">
        <is>
          <t>154.012.001</t>
        </is>
      </c>
      <c r="C27" s="10" t="inlineStr">
        <is>
          <t>Alto 460 ml</t>
        </is>
      </c>
      <c r="D27" s="10" t="inlineStr">
        <is>
          <t>1070</t>
        </is>
      </c>
      <c r="E27" s="12" t="n"/>
      <c r="F27" s="12" t="n"/>
      <c r="G27" s="12" t="n"/>
      <c r="H27" s="12" t="n"/>
      <c r="I27" s="13" t="inlineStr">
        <is>
          <t>CTRL</t>
        </is>
      </c>
    </row>
    <row r="28">
      <c r="A28" s="9" t="inlineStr">
        <is>
          <t>154-12</t>
        </is>
      </c>
      <c r="B28" s="10" t="inlineStr">
        <is>
          <t>154.012.001</t>
        </is>
      </c>
      <c r="C28" s="10" t="inlineStr">
        <is>
          <t>Alto 460 ml</t>
        </is>
      </c>
      <c r="D28" s="10" t="inlineStr">
        <is>
          <t>1070</t>
        </is>
      </c>
      <c r="E28" s="12" t="n"/>
      <c r="F28" s="12" t="n"/>
      <c r="G28" s="12" t="n"/>
      <c r="H28" s="12" t="n"/>
      <c r="I28" s="13" t="inlineStr">
        <is>
          <t>CTRL</t>
        </is>
      </c>
    </row>
    <row r="29">
      <c r="A29" s="9" t="inlineStr">
        <is>
          <t>155-01</t>
        </is>
      </c>
      <c r="B29" s="10" t="inlineStr">
        <is>
          <t>155.012.001</t>
        </is>
      </c>
      <c r="C29" s="10" t="inlineStr">
        <is>
          <t>Alto 850 ml</t>
        </is>
      </c>
      <c r="D29" s="10" t="inlineStr">
        <is>
          <t>1069</t>
        </is>
      </c>
      <c r="E29" s="12" t="n"/>
      <c r="F29" s="12" t="n"/>
      <c r="G29" s="12" t="n"/>
      <c r="H29" s="12" t="n"/>
      <c r="I29" s="10" t="inlineStr">
        <is>
          <t>ensaio</t>
        </is>
      </c>
    </row>
    <row r="30">
      <c r="A30" s="9" t="inlineStr">
        <is>
          <t>155-02</t>
        </is>
      </c>
      <c r="B30" s="10" t="inlineStr">
        <is>
          <t>155.012.001</t>
        </is>
      </c>
      <c r="C30" s="10" t="inlineStr">
        <is>
          <t>Alto 850 ml</t>
        </is>
      </c>
      <c r="D30" s="10" t="inlineStr">
        <is>
          <t>1069</t>
        </is>
      </c>
      <c r="E30" s="12" t="n"/>
      <c r="F30" s="12" t="n"/>
      <c r="G30" s="12" t="n"/>
      <c r="H30" s="12" t="n"/>
      <c r="I30" s="10" t="inlineStr">
        <is>
          <t>ensaio</t>
        </is>
      </c>
    </row>
    <row r="31">
      <c r="A31" s="9" t="inlineStr">
        <is>
          <t>155-03</t>
        </is>
      </c>
      <c r="B31" s="10" t="inlineStr">
        <is>
          <t>155.012.001</t>
        </is>
      </c>
      <c r="C31" s="10" t="inlineStr">
        <is>
          <t>Alto 850 ml</t>
        </is>
      </c>
      <c r="D31" s="10" t="inlineStr">
        <is>
          <t>1069</t>
        </is>
      </c>
      <c r="E31" s="12" t="n"/>
      <c r="F31" s="12" t="n"/>
      <c r="G31" s="12" t="n"/>
      <c r="H31" s="12" t="n"/>
      <c r="I31" s="10" t="inlineStr">
        <is>
          <t>ensaio</t>
        </is>
      </c>
    </row>
    <row r="32">
      <c r="A32" s="9" t="inlineStr">
        <is>
          <t>155-04</t>
        </is>
      </c>
      <c r="B32" s="10" t="inlineStr">
        <is>
          <t>155.012.001</t>
        </is>
      </c>
      <c r="C32" s="10" t="inlineStr">
        <is>
          <t>Alto 850 ml</t>
        </is>
      </c>
      <c r="D32" s="10" t="inlineStr">
        <is>
          <t>1069</t>
        </is>
      </c>
      <c r="E32" s="12" t="n"/>
      <c r="F32" s="12" t="n"/>
      <c r="G32" s="12" t="n"/>
      <c r="H32" s="12" t="n"/>
      <c r="I32" s="10" t="inlineStr">
        <is>
          <t>ensaio</t>
        </is>
      </c>
    </row>
    <row r="33">
      <c r="A33" s="9" t="inlineStr">
        <is>
          <t>155-05</t>
        </is>
      </c>
      <c r="B33" s="10" t="inlineStr">
        <is>
          <t>155.012.001</t>
        </is>
      </c>
      <c r="C33" s="10" t="inlineStr">
        <is>
          <t>Alto 850 ml</t>
        </is>
      </c>
      <c r="D33" s="10" t="inlineStr">
        <is>
          <t>1069</t>
        </is>
      </c>
      <c r="E33" s="12" t="n"/>
      <c r="F33" s="12" t="n"/>
      <c r="G33" s="12" t="n"/>
      <c r="H33" s="12" t="n"/>
      <c r="I33" s="10" t="inlineStr">
        <is>
          <t>ensaio</t>
        </is>
      </c>
    </row>
    <row r="34">
      <c r="A34" s="9" t="inlineStr">
        <is>
          <t>155-06</t>
        </is>
      </c>
      <c r="B34" s="10" t="inlineStr">
        <is>
          <t>155.012.001</t>
        </is>
      </c>
      <c r="C34" s="10" t="inlineStr">
        <is>
          <t>Alto 850 ml</t>
        </is>
      </c>
      <c r="D34" s="10" t="inlineStr">
        <is>
          <t>1069</t>
        </is>
      </c>
      <c r="E34" s="12" t="n"/>
      <c r="F34" s="12" t="n"/>
      <c r="G34" s="12" t="n"/>
      <c r="H34" s="12" t="n"/>
      <c r="I34" s="10" t="inlineStr">
        <is>
          <t>ensaio</t>
        </is>
      </c>
    </row>
    <row r="35">
      <c r="A35" s="9" t="inlineStr">
        <is>
          <t>155-07</t>
        </is>
      </c>
      <c r="B35" s="10" t="inlineStr">
        <is>
          <t>155.012.001</t>
        </is>
      </c>
      <c r="C35" s="10" t="inlineStr">
        <is>
          <t>Alto 850 ml</t>
        </is>
      </c>
      <c r="D35" s="10" t="inlineStr">
        <is>
          <t>1069</t>
        </is>
      </c>
      <c r="E35" s="12" t="n"/>
      <c r="F35" s="12" t="n"/>
      <c r="G35" s="12" t="n"/>
      <c r="H35" s="12" t="n"/>
      <c r="I35" s="10" t="inlineStr">
        <is>
          <t>ensaio</t>
        </is>
      </c>
    </row>
    <row r="36">
      <c r="A36" s="9" t="inlineStr">
        <is>
          <t>155-08</t>
        </is>
      </c>
      <c r="B36" s="10" t="inlineStr">
        <is>
          <t>155.012.001</t>
        </is>
      </c>
      <c r="C36" s="10" t="inlineStr">
        <is>
          <t>Alto 850 ml</t>
        </is>
      </c>
      <c r="D36" s="10" t="inlineStr">
        <is>
          <t>1069</t>
        </is>
      </c>
      <c r="E36" s="12" t="n"/>
      <c r="F36" s="12" t="n"/>
      <c r="G36" s="12" t="n"/>
      <c r="H36" s="12" t="n"/>
      <c r="I36" s="10" t="inlineStr">
        <is>
          <t>ensaio</t>
        </is>
      </c>
    </row>
    <row r="37">
      <c r="A37" s="9" t="inlineStr">
        <is>
          <t>155-09</t>
        </is>
      </c>
      <c r="B37" s="10" t="inlineStr">
        <is>
          <t>155.012.001</t>
        </is>
      </c>
      <c r="C37" s="10" t="inlineStr">
        <is>
          <t>Alto 850 ml</t>
        </is>
      </c>
      <c r="D37" s="10" t="inlineStr">
        <is>
          <t>1069</t>
        </is>
      </c>
      <c r="E37" s="12" t="n"/>
      <c r="F37" s="12" t="n"/>
      <c r="G37" s="12" t="n"/>
      <c r="H37" s="12" t="n"/>
      <c r="I37" s="10" t="inlineStr">
        <is>
          <t>ensaio</t>
        </is>
      </c>
    </row>
    <row r="38">
      <c r="A38" s="9" t="inlineStr">
        <is>
          <t>155-10</t>
        </is>
      </c>
      <c r="B38" s="10" t="inlineStr">
        <is>
          <t>155.012.001</t>
        </is>
      </c>
      <c r="C38" s="10" t="inlineStr">
        <is>
          <t>Alto 850 ml</t>
        </is>
      </c>
      <c r="D38" s="10" t="inlineStr">
        <is>
          <t>1069</t>
        </is>
      </c>
      <c r="E38" s="12" t="n"/>
      <c r="F38" s="12" t="n"/>
      <c r="G38" s="12" t="n"/>
      <c r="H38" s="12" t="n"/>
      <c r="I38" s="10" t="inlineStr">
        <is>
          <t>ensaio</t>
        </is>
      </c>
    </row>
    <row r="39">
      <c r="A39" s="9" t="inlineStr">
        <is>
          <t>155-11</t>
        </is>
      </c>
      <c r="B39" s="10" t="inlineStr">
        <is>
          <t>155.012.001</t>
        </is>
      </c>
      <c r="C39" s="10" t="inlineStr">
        <is>
          <t>Alto 850 ml</t>
        </is>
      </c>
      <c r="D39" s="10" t="inlineStr">
        <is>
          <t>1069</t>
        </is>
      </c>
      <c r="E39" s="12" t="n"/>
      <c r="F39" s="12" t="n"/>
      <c r="G39" s="12" t="n"/>
      <c r="H39" s="12" t="n"/>
      <c r="I39" s="13" t="inlineStr">
        <is>
          <t>CTRL</t>
        </is>
      </c>
    </row>
    <row r="40">
      <c r="A40" s="9" t="inlineStr">
        <is>
          <t>155-12</t>
        </is>
      </c>
      <c r="B40" s="10" t="inlineStr">
        <is>
          <t>155.012.001</t>
        </is>
      </c>
      <c r="C40" s="10" t="inlineStr">
        <is>
          <t>Alto 850 ml</t>
        </is>
      </c>
      <c r="D40" s="10" t="inlineStr">
        <is>
          <t>1069</t>
        </is>
      </c>
      <c r="E40" s="12" t="n"/>
      <c r="F40" s="12" t="n"/>
      <c r="G40" s="12" t="n"/>
      <c r="H40" s="12" t="n"/>
      <c r="I40" s="13" t="inlineStr">
        <is>
          <t>CTRL</t>
        </is>
      </c>
    </row>
    <row r="41">
      <c r="A41" s="9" t="inlineStr">
        <is>
          <t>156-01</t>
        </is>
      </c>
      <c r="B41" s="10" t="inlineStr">
        <is>
          <t>156.012.001</t>
        </is>
      </c>
      <c r="C41" s="10" t="inlineStr">
        <is>
          <t>Alto 2,2 L</t>
        </is>
      </c>
      <c r="D41" s="10" t="inlineStr">
        <is>
          <t>1068</t>
        </is>
      </c>
      <c r="E41" s="12" t="n"/>
      <c r="F41" s="12" t="n"/>
      <c r="G41" s="12" t="n"/>
      <c r="H41" s="12" t="n"/>
      <c r="I41" s="10" t="inlineStr">
        <is>
          <t>ensaio</t>
        </is>
      </c>
    </row>
    <row r="42">
      <c r="A42" s="9" t="inlineStr">
        <is>
          <t>156-02</t>
        </is>
      </c>
      <c r="B42" s="10" t="inlineStr">
        <is>
          <t>156.012.001</t>
        </is>
      </c>
      <c r="C42" s="10" t="inlineStr">
        <is>
          <t>Alto 2,2 L</t>
        </is>
      </c>
      <c r="D42" s="10" t="inlineStr">
        <is>
          <t>1068</t>
        </is>
      </c>
      <c r="E42" s="12" t="n"/>
      <c r="F42" s="12" t="n"/>
      <c r="G42" s="12" t="n"/>
      <c r="H42" s="12" t="n"/>
      <c r="I42" s="10" t="inlineStr">
        <is>
          <t>ensaio</t>
        </is>
      </c>
    </row>
    <row r="43">
      <c r="A43" s="9" t="inlineStr">
        <is>
          <t>156-03</t>
        </is>
      </c>
      <c r="B43" s="10" t="inlineStr">
        <is>
          <t>156.012.001</t>
        </is>
      </c>
      <c r="C43" s="10" t="inlineStr">
        <is>
          <t>Alto 2,2 L</t>
        </is>
      </c>
      <c r="D43" s="10" t="inlineStr">
        <is>
          <t>1068</t>
        </is>
      </c>
      <c r="E43" s="12" t="n"/>
      <c r="F43" s="12" t="n"/>
      <c r="G43" s="12" t="n"/>
      <c r="H43" s="12" t="n"/>
      <c r="I43" s="10" t="inlineStr">
        <is>
          <t>ensaio</t>
        </is>
      </c>
    </row>
    <row r="44">
      <c r="A44" s="9" t="inlineStr">
        <is>
          <t>156-04</t>
        </is>
      </c>
      <c r="B44" s="10" t="inlineStr">
        <is>
          <t>156.012.001</t>
        </is>
      </c>
      <c r="C44" s="10" t="inlineStr">
        <is>
          <t>Alto 2,2 L</t>
        </is>
      </c>
      <c r="D44" s="10" t="inlineStr">
        <is>
          <t>1068</t>
        </is>
      </c>
      <c r="E44" s="12" t="n"/>
      <c r="F44" s="12" t="n"/>
      <c r="G44" s="12" t="n"/>
      <c r="H44" s="12" t="n"/>
      <c r="I44" s="10" t="inlineStr">
        <is>
          <t>ensaio</t>
        </is>
      </c>
    </row>
    <row r="45">
      <c r="A45" s="9" t="inlineStr">
        <is>
          <t>156-05</t>
        </is>
      </c>
      <c r="B45" s="10" t="inlineStr">
        <is>
          <t>156.012.001</t>
        </is>
      </c>
      <c r="C45" s="10" t="inlineStr">
        <is>
          <t>Alto 2,2 L</t>
        </is>
      </c>
      <c r="D45" s="10" t="inlineStr">
        <is>
          <t>1068</t>
        </is>
      </c>
      <c r="E45" s="12" t="n"/>
      <c r="F45" s="12" t="n"/>
      <c r="G45" s="12" t="n"/>
      <c r="H45" s="12" t="n"/>
      <c r="I45" s="10" t="inlineStr">
        <is>
          <t>ensaio</t>
        </is>
      </c>
    </row>
    <row r="46">
      <c r="A46" s="9" t="inlineStr">
        <is>
          <t>156-06</t>
        </is>
      </c>
      <c r="B46" s="10" t="inlineStr">
        <is>
          <t>156.012.001</t>
        </is>
      </c>
      <c r="C46" s="10" t="inlineStr">
        <is>
          <t>Alto 2,2 L</t>
        </is>
      </c>
      <c r="D46" s="10" t="inlineStr">
        <is>
          <t>1068</t>
        </is>
      </c>
      <c r="E46" s="12" t="n"/>
      <c r="F46" s="12" t="n"/>
      <c r="G46" s="12" t="n"/>
      <c r="H46" s="12" t="n"/>
      <c r="I46" s="10" t="inlineStr">
        <is>
          <t>ensaio</t>
        </is>
      </c>
    </row>
    <row r="47">
      <c r="A47" s="9" t="inlineStr">
        <is>
          <t>156-07</t>
        </is>
      </c>
      <c r="B47" s="10" t="inlineStr">
        <is>
          <t>156.012.001</t>
        </is>
      </c>
      <c r="C47" s="10" t="inlineStr">
        <is>
          <t>Alto 2,2 L</t>
        </is>
      </c>
      <c r="D47" s="10" t="inlineStr">
        <is>
          <t>1068</t>
        </is>
      </c>
      <c r="E47" s="12" t="n"/>
      <c r="F47" s="12" t="n"/>
      <c r="G47" s="12" t="n"/>
      <c r="H47" s="12" t="n"/>
      <c r="I47" s="10" t="inlineStr">
        <is>
          <t>ensaio</t>
        </is>
      </c>
    </row>
    <row r="48">
      <c r="A48" s="9" t="inlineStr">
        <is>
          <t>156-08</t>
        </is>
      </c>
      <c r="B48" s="10" t="inlineStr">
        <is>
          <t>156.012.001</t>
        </is>
      </c>
      <c r="C48" s="10" t="inlineStr">
        <is>
          <t>Alto 2,2 L</t>
        </is>
      </c>
      <c r="D48" s="10" t="inlineStr">
        <is>
          <t>1068</t>
        </is>
      </c>
      <c r="E48" s="12" t="n"/>
      <c r="F48" s="12" t="n"/>
      <c r="G48" s="12" t="n"/>
      <c r="H48" s="12" t="n"/>
      <c r="I48" s="10" t="inlineStr">
        <is>
          <t>ensaio</t>
        </is>
      </c>
    </row>
    <row r="49">
      <c r="A49" s="9" t="inlineStr">
        <is>
          <t>156-09</t>
        </is>
      </c>
      <c r="B49" s="10" t="inlineStr">
        <is>
          <t>156.012.001</t>
        </is>
      </c>
      <c r="C49" s="10" t="inlineStr">
        <is>
          <t>Alto 2,2 L</t>
        </is>
      </c>
      <c r="D49" s="10" t="inlineStr">
        <is>
          <t>1068</t>
        </is>
      </c>
      <c r="E49" s="12" t="n"/>
      <c r="F49" s="12" t="n"/>
      <c r="G49" s="12" t="n"/>
      <c r="H49" s="12" t="n"/>
      <c r="I49" s="10" t="inlineStr">
        <is>
          <t>ensaio</t>
        </is>
      </c>
    </row>
    <row r="50">
      <c r="A50" s="9" t="inlineStr">
        <is>
          <t>156-10</t>
        </is>
      </c>
      <c r="B50" s="10" t="inlineStr">
        <is>
          <t>156.012.001</t>
        </is>
      </c>
      <c r="C50" s="10" t="inlineStr">
        <is>
          <t>Alto 2,2 L</t>
        </is>
      </c>
      <c r="D50" s="10" t="inlineStr">
        <is>
          <t>1068</t>
        </is>
      </c>
      <c r="E50" s="12" t="n"/>
      <c r="F50" s="12" t="n"/>
      <c r="G50" s="12" t="n"/>
      <c r="H50" s="12" t="n"/>
      <c r="I50" s="10" t="inlineStr">
        <is>
          <t>ensaio</t>
        </is>
      </c>
    </row>
    <row r="51">
      <c r="A51" s="9" t="inlineStr">
        <is>
          <t>156-11</t>
        </is>
      </c>
      <c r="B51" s="10" t="inlineStr">
        <is>
          <t>156.012.001</t>
        </is>
      </c>
      <c r="C51" s="10" t="inlineStr">
        <is>
          <t>Alto 2,2 L</t>
        </is>
      </c>
      <c r="D51" s="10" t="inlineStr">
        <is>
          <t>1068</t>
        </is>
      </c>
      <c r="E51" s="12" t="n"/>
      <c r="F51" s="12" t="n"/>
      <c r="G51" s="12" t="n"/>
      <c r="H51" s="12" t="n"/>
      <c r="I51" s="13" t="inlineStr">
        <is>
          <t>CTRL</t>
        </is>
      </c>
    </row>
    <row r="52">
      <c r="A52" s="9" t="inlineStr">
        <is>
          <t>156-12</t>
        </is>
      </c>
      <c r="B52" s="10" t="inlineStr">
        <is>
          <t>156.012.001</t>
        </is>
      </c>
      <c r="C52" s="10" t="inlineStr">
        <is>
          <t>Alto 2,2 L</t>
        </is>
      </c>
      <c r="D52" s="10" t="inlineStr">
        <is>
          <t>1068</t>
        </is>
      </c>
      <c r="E52" s="12" t="n"/>
      <c r="F52" s="12" t="n"/>
      <c r="G52" s="12" t="n"/>
      <c r="H52" s="12" t="n"/>
      <c r="I52" s="13" t="inlineStr">
        <is>
          <t>CTRL</t>
        </is>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1"/>
  <sheetViews>
    <sheetView workbookViewId="0">
      <pane ySplit="4" topLeftCell="A5" activePane="bottomLeft" state="frozen"/>
      <selection pane="bottomLeft" activeCell="A1" sqref="A1"/>
    </sheetView>
  </sheetViews>
  <sheetFormatPr baseColWidth="8" defaultRowHeight="15"/>
  <cols>
    <col width="14" customWidth="1" min="1" max="1"/>
    <col width="10" customWidth="1" min="2" max="2"/>
    <col width="15" customWidth="1" min="3" max="3"/>
    <col width="15" customWidth="1" min="4" max="4"/>
    <col width="12" customWidth="1" min="5" max="5"/>
    <col width="16" customWidth="1" min="6" max="6"/>
    <col width="13" customWidth="1" min="7" max="7"/>
    <col width="14" customWidth="1" min="8" max="8"/>
    <col width="34" customWidth="1" min="9" max="9"/>
  </cols>
  <sheetData>
    <row r="1" ht="26" customHeight="1">
      <c r="A1" s="1" t="inlineStr">
        <is>
          <t>ENSAIO 1 — VAZAMENTO DE LÍQUIDO (24 h)</t>
        </is>
      </c>
    </row>
    <row r="2" ht="15" customHeight="1">
      <c r="A2" s="2" t="inlineStr">
        <is>
          <t>Encher 80% com água + corante. Fechar e travar. Pesar. 30 min invertido · 30 min deitado · 24 h invertido. Repesar. APROVA se papel limpo E perda &lt; 0,10 g.</t>
        </is>
      </c>
    </row>
    <row r="4" ht="30" customHeight="1">
      <c r="A4" s="8" t="inlineStr">
        <is>
          <t>ID amostra</t>
        </is>
      </c>
      <c r="B4" s="8" t="inlineStr">
        <is>
          <t>Tipo</t>
        </is>
      </c>
      <c r="C4" s="8" t="inlineStr">
        <is>
          <t>Massa inicial (g)</t>
        </is>
      </c>
      <c r="D4" s="8" t="inlineStr">
        <is>
          <t>Massa 24 h (g)</t>
        </is>
      </c>
      <c r="E4" s="8" t="inlineStr">
        <is>
          <t>Perda (g)</t>
        </is>
      </c>
      <c r="F4" s="8" t="inlineStr">
        <is>
          <t>Papel-toalha</t>
        </is>
      </c>
      <c r="G4" s="8" t="inlineStr">
        <is>
          <t>Gota visível?</t>
        </is>
      </c>
      <c r="H4" s="8" t="inlineStr">
        <is>
          <t>VEREDITO</t>
        </is>
      </c>
      <c r="I4" s="8" t="inlineStr">
        <is>
          <t>Observação</t>
        </is>
      </c>
    </row>
    <row r="5">
      <c r="A5" s="9" t="inlineStr">
        <is>
          <t>151-01</t>
        </is>
      </c>
      <c r="B5" s="10" t="inlineStr">
        <is>
          <t>ensaio</t>
        </is>
      </c>
      <c r="C5" s="12" t="n"/>
      <c r="D5" s="12" t="n"/>
      <c r="E5" s="14">
        <f>IF(OR(C5="",D5=""),"",ROUND(C5-D5,2))</f>
        <v/>
      </c>
      <c r="F5" s="12" t="n"/>
      <c r="G5" s="12" t="n"/>
      <c r="H5" s="15">
        <f>IF(OR(C5="",D5="",F5="",G5=""),"",IF(AND(E5&lt;0.1,F5="LIMPO",G5="NÃO"),"APROVADO","REPROVADO"))</f>
        <v/>
      </c>
      <c r="I5" s="12" t="n"/>
    </row>
    <row r="6">
      <c r="A6" s="9" t="inlineStr">
        <is>
          <t>151-02</t>
        </is>
      </c>
      <c r="B6" s="10" t="inlineStr">
        <is>
          <t>ensaio</t>
        </is>
      </c>
      <c r="C6" s="12" t="n"/>
      <c r="D6" s="12" t="n"/>
      <c r="E6" s="14">
        <f>IF(OR(C6="",D6=""),"",ROUND(C6-D6,2))</f>
        <v/>
      </c>
      <c r="F6" s="12" t="n"/>
      <c r="G6" s="12" t="n"/>
      <c r="H6" s="15">
        <f>IF(OR(C6="",D6="",F6="",G6=""),"",IF(AND(E6&lt;0.1,F6="LIMPO",G6="NÃO"),"APROVADO","REPROVADO"))</f>
        <v/>
      </c>
      <c r="I6" s="12" t="n"/>
    </row>
    <row r="7">
      <c r="A7" s="9" t="inlineStr">
        <is>
          <t>151-03</t>
        </is>
      </c>
      <c r="B7" s="10" t="inlineStr">
        <is>
          <t>ensaio</t>
        </is>
      </c>
      <c r="C7" s="12" t="n"/>
      <c r="D7" s="12" t="n"/>
      <c r="E7" s="14">
        <f>IF(OR(C7="",D7=""),"",ROUND(C7-D7,2))</f>
        <v/>
      </c>
      <c r="F7" s="12" t="n"/>
      <c r="G7" s="12" t="n"/>
      <c r="H7" s="15">
        <f>IF(OR(C7="",D7="",F7="",G7=""),"",IF(AND(E7&lt;0.1,F7="LIMPO",G7="NÃO"),"APROVADO","REPROVADO"))</f>
        <v/>
      </c>
      <c r="I7" s="12" t="n"/>
    </row>
    <row r="8">
      <c r="A8" s="9" t="inlineStr">
        <is>
          <t>151-04</t>
        </is>
      </c>
      <c r="B8" s="10" t="inlineStr">
        <is>
          <t>ensaio</t>
        </is>
      </c>
      <c r="C8" s="12" t="n"/>
      <c r="D8" s="12" t="n"/>
      <c r="E8" s="14">
        <f>IF(OR(C8="",D8=""),"",ROUND(C8-D8,2))</f>
        <v/>
      </c>
      <c r="F8" s="12" t="n"/>
      <c r="G8" s="12" t="n"/>
      <c r="H8" s="15">
        <f>IF(OR(C8="",D8="",F8="",G8=""),"",IF(AND(E8&lt;0.1,F8="LIMPO",G8="NÃO"),"APROVADO","REPROVADO"))</f>
        <v/>
      </c>
      <c r="I8" s="12" t="n"/>
    </row>
    <row r="9">
      <c r="A9" s="9" t="inlineStr">
        <is>
          <t>151-05</t>
        </is>
      </c>
      <c r="B9" s="10" t="inlineStr">
        <is>
          <t>ensaio</t>
        </is>
      </c>
      <c r="C9" s="12" t="n"/>
      <c r="D9" s="12" t="n"/>
      <c r="E9" s="14">
        <f>IF(OR(C9="",D9=""),"",ROUND(C9-D9,2))</f>
        <v/>
      </c>
      <c r="F9" s="12" t="n"/>
      <c r="G9" s="12" t="n"/>
      <c r="H9" s="15">
        <f>IF(OR(C9="",D9="",F9="",G9=""),"",IF(AND(E9&lt;0.1,F9="LIMPO",G9="NÃO"),"APROVADO","REPROVADO"))</f>
        <v/>
      </c>
      <c r="I9" s="12" t="n"/>
    </row>
    <row r="10">
      <c r="A10" s="9" t="inlineStr">
        <is>
          <t>151-06</t>
        </is>
      </c>
      <c r="B10" s="10" t="inlineStr">
        <is>
          <t>ensaio</t>
        </is>
      </c>
      <c r="C10" s="12" t="n"/>
      <c r="D10" s="12" t="n"/>
      <c r="E10" s="14">
        <f>IF(OR(C10="",D10=""),"",ROUND(C10-D10,2))</f>
        <v/>
      </c>
      <c r="F10" s="12" t="n"/>
      <c r="G10" s="12" t="n"/>
      <c r="H10" s="15">
        <f>IF(OR(C10="",D10="",F10="",G10=""),"",IF(AND(E10&lt;0.1,F10="LIMPO",G10="NÃO"),"APROVADO","REPROVADO"))</f>
        <v/>
      </c>
      <c r="I10" s="12" t="n"/>
    </row>
    <row r="11">
      <c r="A11" s="9" t="inlineStr">
        <is>
          <t>151-07</t>
        </is>
      </c>
      <c r="B11" s="10" t="inlineStr">
        <is>
          <t>ensaio</t>
        </is>
      </c>
      <c r="C11" s="12" t="n"/>
      <c r="D11" s="12" t="n"/>
      <c r="E11" s="14">
        <f>IF(OR(C11="",D11=""),"",ROUND(C11-D11,2))</f>
        <v/>
      </c>
      <c r="F11" s="12" t="n"/>
      <c r="G11" s="12" t="n"/>
      <c r="H11" s="15">
        <f>IF(OR(C11="",D11="",F11="",G11=""),"",IF(AND(E11&lt;0.1,F11="LIMPO",G11="NÃO"),"APROVADO","REPROVADO"))</f>
        <v/>
      </c>
      <c r="I11" s="12" t="n"/>
    </row>
    <row r="12">
      <c r="A12" s="9" t="inlineStr">
        <is>
          <t>151-08</t>
        </is>
      </c>
      <c r="B12" s="10" t="inlineStr">
        <is>
          <t>ensaio</t>
        </is>
      </c>
      <c r="C12" s="12" t="n"/>
      <c r="D12" s="12" t="n"/>
      <c r="E12" s="14">
        <f>IF(OR(C12="",D12=""),"",ROUND(C12-D12,2))</f>
        <v/>
      </c>
      <c r="F12" s="12" t="n"/>
      <c r="G12" s="12" t="n"/>
      <c r="H12" s="15">
        <f>IF(OR(C12="",D12="",F12="",G12=""),"",IF(AND(E12&lt;0.1,F12="LIMPO",G12="NÃO"),"APROVADO","REPROVADO"))</f>
        <v/>
      </c>
      <c r="I12" s="12" t="n"/>
    </row>
    <row r="13">
      <c r="A13" s="9" t="inlineStr">
        <is>
          <t>151-09</t>
        </is>
      </c>
      <c r="B13" s="10" t="inlineStr">
        <is>
          <t>ensaio</t>
        </is>
      </c>
      <c r="C13" s="12" t="n"/>
      <c r="D13" s="12" t="n"/>
      <c r="E13" s="14">
        <f>IF(OR(C13="",D13=""),"",ROUND(C13-D13,2))</f>
        <v/>
      </c>
      <c r="F13" s="12" t="n"/>
      <c r="G13" s="12" t="n"/>
      <c r="H13" s="15">
        <f>IF(OR(C13="",D13="",F13="",G13=""),"",IF(AND(E13&lt;0.1,F13="LIMPO",G13="NÃO"),"APROVADO","REPROVADO"))</f>
        <v/>
      </c>
      <c r="I13" s="12" t="n"/>
    </row>
    <row r="14">
      <c r="A14" s="9" t="inlineStr">
        <is>
          <t>151-10</t>
        </is>
      </c>
      <c r="B14" s="10" t="inlineStr">
        <is>
          <t>ensaio</t>
        </is>
      </c>
      <c r="C14" s="12" t="n"/>
      <c r="D14" s="12" t="n"/>
      <c r="E14" s="14">
        <f>IF(OR(C14="",D14=""),"",ROUND(C14-D14,2))</f>
        <v/>
      </c>
      <c r="F14" s="12" t="n"/>
      <c r="G14" s="12" t="n"/>
      <c r="H14" s="15">
        <f>IF(OR(C14="",D14="",F14="",G14=""),"",IF(AND(E14&lt;0.1,F14="LIMPO",G14="NÃO"),"APROVADO","REPROVADO"))</f>
        <v/>
      </c>
      <c r="I14" s="12" t="n"/>
    </row>
    <row r="15">
      <c r="A15" s="9" t="inlineStr">
        <is>
          <t>151-11</t>
        </is>
      </c>
      <c r="B15" s="10" t="inlineStr">
        <is>
          <t>CTRL</t>
        </is>
      </c>
      <c r="C15" s="12" t="n"/>
      <c r="D15" s="12" t="n"/>
      <c r="E15" s="14">
        <f>IF(OR(C15="",D15=""),"",ROUND(C15-D15,2))</f>
        <v/>
      </c>
      <c r="F15" s="12" t="n"/>
      <c r="G15" s="12" t="n"/>
      <c r="H15" s="15">
        <f>IF(OR(C15="",D15="",F15="",G15=""),"",IF(AND(E15&lt;0.1,F15="LIMPO",G15="NÃO"),"APROVADO","REPROVADO"))</f>
        <v/>
      </c>
      <c r="I15" s="12" t="n"/>
    </row>
    <row r="16">
      <c r="A16" s="9" t="inlineStr">
        <is>
          <t>151-12</t>
        </is>
      </c>
      <c r="B16" s="10" t="inlineStr">
        <is>
          <t>CTRL</t>
        </is>
      </c>
      <c r="C16" s="12" t="n"/>
      <c r="D16" s="12" t="n"/>
      <c r="E16" s="14">
        <f>IF(OR(C16="",D16=""),"",ROUND(C16-D16,2))</f>
        <v/>
      </c>
      <c r="F16" s="12" t="n"/>
      <c r="G16" s="12" t="n"/>
      <c r="H16" s="15">
        <f>IF(OR(C16="",D16="",F16="",G16=""),"",IF(AND(E16&lt;0.1,F16="LIMPO",G16="NÃO"),"APROVADO","REPROVADO"))</f>
        <v/>
      </c>
      <c r="I16" s="12" t="n"/>
    </row>
    <row r="17">
      <c r="A17" s="9" t="inlineStr">
        <is>
          <t>154-01</t>
        </is>
      </c>
      <c r="B17" s="10" t="inlineStr">
        <is>
          <t>ensaio</t>
        </is>
      </c>
      <c r="C17" s="12" t="n"/>
      <c r="D17" s="12" t="n"/>
      <c r="E17" s="14">
        <f>IF(OR(C17="",D17=""),"",ROUND(C17-D17,2))</f>
        <v/>
      </c>
      <c r="F17" s="12" t="n"/>
      <c r="G17" s="12" t="n"/>
      <c r="H17" s="15">
        <f>IF(OR(C17="",D17="",F17="",G17=""),"",IF(AND(E17&lt;0.1,F17="LIMPO",G17="NÃO"),"APROVADO","REPROVADO"))</f>
        <v/>
      </c>
      <c r="I17" s="12" t="n"/>
    </row>
    <row r="18">
      <c r="A18" s="9" t="inlineStr">
        <is>
          <t>154-02</t>
        </is>
      </c>
      <c r="B18" s="10" t="inlineStr">
        <is>
          <t>ensaio</t>
        </is>
      </c>
      <c r="C18" s="12" t="n"/>
      <c r="D18" s="12" t="n"/>
      <c r="E18" s="14">
        <f>IF(OR(C18="",D18=""),"",ROUND(C18-D18,2))</f>
        <v/>
      </c>
      <c r="F18" s="12" t="n"/>
      <c r="G18" s="12" t="n"/>
      <c r="H18" s="15">
        <f>IF(OR(C18="",D18="",F18="",G18=""),"",IF(AND(E18&lt;0.1,F18="LIMPO",G18="NÃO"),"APROVADO","REPROVADO"))</f>
        <v/>
      </c>
      <c r="I18" s="12" t="n"/>
    </row>
    <row r="19">
      <c r="A19" s="9" t="inlineStr">
        <is>
          <t>154-03</t>
        </is>
      </c>
      <c r="B19" s="10" t="inlineStr">
        <is>
          <t>ensaio</t>
        </is>
      </c>
      <c r="C19" s="12" t="n"/>
      <c r="D19" s="12" t="n"/>
      <c r="E19" s="14">
        <f>IF(OR(C19="",D19=""),"",ROUND(C19-D19,2))</f>
        <v/>
      </c>
      <c r="F19" s="12" t="n"/>
      <c r="G19" s="12" t="n"/>
      <c r="H19" s="15">
        <f>IF(OR(C19="",D19="",F19="",G19=""),"",IF(AND(E19&lt;0.1,F19="LIMPO",G19="NÃO"),"APROVADO","REPROVADO"))</f>
        <v/>
      </c>
      <c r="I19" s="12" t="n"/>
    </row>
    <row r="20">
      <c r="A20" s="9" t="inlineStr">
        <is>
          <t>154-04</t>
        </is>
      </c>
      <c r="B20" s="10" t="inlineStr">
        <is>
          <t>ensaio</t>
        </is>
      </c>
      <c r="C20" s="12" t="n"/>
      <c r="D20" s="12" t="n"/>
      <c r="E20" s="14">
        <f>IF(OR(C20="",D20=""),"",ROUND(C20-D20,2))</f>
        <v/>
      </c>
      <c r="F20" s="12" t="n"/>
      <c r="G20" s="12" t="n"/>
      <c r="H20" s="15">
        <f>IF(OR(C20="",D20="",F20="",G20=""),"",IF(AND(E20&lt;0.1,F20="LIMPO",G20="NÃO"),"APROVADO","REPROVADO"))</f>
        <v/>
      </c>
      <c r="I20" s="12" t="n"/>
    </row>
    <row r="21">
      <c r="A21" s="9" t="inlineStr">
        <is>
          <t>154-05</t>
        </is>
      </c>
      <c r="B21" s="10" t="inlineStr">
        <is>
          <t>ensaio</t>
        </is>
      </c>
      <c r="C21" s="12" t="n"/>
      <c r="D21" s="12" t="n"/>
      <c r="E21" s="14">
        <f>IF(OR(C21="",D21=""),"",ROUND(C21-D21,2))</f>
        <v/>
      </c>
      <c r="F21" s="12" t="n"/>
      <c r="G21" s="12" t="n"/>
      <c r="H21" s="15">
        <f>IF(OR(C21="",D21="",F21="",G21=""),"",IF(AND(E21&lt;0.1,F21="LIMPO",G21="NÃO"),"APROVADO","REPROVADO"))</f>
        <v/>
      </c>
      <c r="I21" s="12" t="n"/>
    </row>
    <row r="22">
      <c r="A22" s="9" t="inlineStr">
        <is>
          <t>154-06</t>
        </is>
      </c>
      <c r="B22" s="10" t="inlineStr">
        <is>
          <t>ensaio</t>
        </is>
      </c>
      <c r="C22" s="12" t="n"/>
      <c r="D22" s="12" t="n"/>
      <c r="E22" s="14">
        <f>IF(OR(C22="",D22=""),"",ROUND(C22-D22,2))</f>
        <v/>
      </c>
      <c r="F22" s="12" t="n"/>
      <c r="G22" s="12" t="n"/>
      <c r="H22" s="15">
        <f>IF(OR(C22="",D22="",F22="",G22=""),"",IF(AND(E22&lt;0.1,F22="LIMPO",G22="NÃO"),"APROVADO","REPROVADO"))</f>
        <v/>
      </c>
      <c r="I22" s="12" t="n"/>
    </row>
    <row r="23">
      <c r="A23" s="9" t="inlineStr">
        <is>
          <t>154-07</t>
        </is>
      </c>
      <c r="B23" s="10" t="inlineStr">
        <is>
          <t>ensaio</t>
        </is>
      </c>
      <c r="C23" s="12" t="n"/>
      <c r="D23" s="12" t="n"/>
      <c r="E23" s="14">
        <f>IF(OR(C23="",D23=""),"",ROUND(C23-D23,2))</f>
        <v/>
      </c>
      <c r="F23" s="12" t="n"/>
      <c r="G23" s="12" t="n"/>
      <c r="H23" s="15">
        <f>IF(OR(C23="",D23="",F23="",G23=""),"",IF(AND(E23&lt;0.1,F23="LIMPO",G23="NÃO"),"APROVADO","REPROVADO"))</f>
        <v/>
      </c>
      <c r="I23" s="12" t="n"/>
    </row>
    <row r="24">
      <c r="A24" s="9" t="inlineStr">
        <is>
          <t>154-08</t>
        </is>
      </c>
      <c r="B24" s="10" t="inlineStr">
        <is>
          <t>ensaio</t>
        </is>
      </c>
      <c r="C24" s="12" t="n"/>
      <c r="D24" s="12" t="n"/>
      <c r="E24" s="14">
        <f>IF(OR(C24="",D24=""),"",ROUND(C24-D24,2))</f>
        <v/>
      </c>
      <c r="F24" s="12" t="n"/>
      <c r="G24" s="12" t="n"/>
      <c r="H24" s="15">
        <f>IF(OR(C24="",D24="",F24="",G24=""),"",IF(AND(E24&lt;0.1,F24="LIMPO",G24="NÃO"),"APROVADO","REPROVADO"))</f>
        <v/>
      </c>
      <c r="I24" s="12" t="n"/>
    </row>
    <row r="25">
      <c r="A25" s="9" t="inlineStr">
        <is>
          <t>154-09</t>
        </is>
      </c>
      <c r="B25" s="10" t="inlineStr">
        <is>
          <t>ensaio</t>
        </is>
      </c>
      <c r="C25" s="12" t="n"/>
      <c r="D25" s="12" t="n"/>
      <c r="E25" s="14">
        <f>IF(OR(C25="",D25=""),"",ROUND(C25-D25,2))</f>
        <v/>
      </c>
      <c r="F25" s="12" t="n"/>
      <c r="G25" s="12" t="n"/>
      <c r="H25" s="15">
        <f>IF(OR(C25="",D25="",F25="",G25=""),"",IF(AND(E25&lt;0.1,F25="LIMPO",G25="NÃO"),"APROVADO","REPROVADO"))</f>
        <v/>
      </c>
      <c r="I25" s="12" t="n"/>
    </row>
    <row r="26">
      <c r="A26" s="9" t="inlineStr">
        <is>
          <t>154-10</t>
        </is>
      </c>
      <c r="B26" s="10" t="inlineStr">
        <is>
          <t>ensaio</t>
        </is>
      </c>
      <c r="C26" s="12" t="n"/>
      <c r="D26" s="12" t="n"/>
      <c r="E26" s="14">
        <f>IF(OR(C26="",D26=""),"",ROUND(C26-D26,2))</f>
        <v/>
      </c>
      <c r="F26" s="12" t="n"/>
      <c r="G26" s="12" t="n"/>
      <c r="H26" s="15">
        <f>IF(OR(C26="",D26="",F26="",G26=""),"",IF(AND(E26&lt;0.1,F26="LIMPO",G26="NÃO"),"APROVADO","REPROVADO"))</f>
        <v/>
      </c>
      <c r="I26" s="12" t="n"/>
    </row>
    <row r="27">
      <c r="A27" s="9" t="inlineStr">
        <is>
          <t>154-11</t>
        </is>
      </c>
      <c r="B27" s="10" t="inlineStr">
        <is>
          <t>CTRL</t>
        </is>
      </c>
      <c r="C27" s="12" t="n"/>
      <c r="D27" s="12" t="n"/>
      <c r="E27" s="14">
        <f>IF(OR(C27="",D27=""),"",ROUND(C27-D27,2))</f>
        <v/>
      </c>
      <c r="F27" s="12" t="n"/>
      <c r="G27" s="12" t="n"/>
      <c r="H27" s="15">
        <f>IF(OR(C27="",D27="",F27="",G27=""),"",IF(AND(E27&lt;0.1,F27="LIMPO",G27="NÃO"),"APROVADO","REPROVADO"))</f>
        <v/>
      </c>
      <c r="I27" s="12" t="n"/>
    </row>
    <row r="28">
      <c r="A28" s="9" t="inlineStr">
        <is>
          <t>154-12</t>
        </is>
      </c>
      <c r="B28" s="10" t="inlineStr">
        <is>
          <t>CTRL</t>
        </is>
      </c>
      <c r="C28" s="12" t="n"/>
      <c r="D28" s="12" t="n"/>
      <c r="E28" s="14">
        <f>IF(OR(C28="",D28=""),"",ROUND(C28-D28,2))</f>
        <v/>
      </c>
      <c r="F28" s="12" t="n"/>
      <c r="G28" s="12" t="n"/>
      <c r="H28" s="15">
        <f>IF(OR(C28="",D28="",F28="",G28=""),"",IF(AND(E28&lt;0.1,F28="LIMPO",G28="NÃO"),"APROVADO","REPROVADO"))</f>
        <v/>
      </c>
      <c r="I28" s="12" t="n"/>
    </row>
    <row r="29">
      <c r="A29" s="9" t="inlineStr">
        <is>
          <t>155-01</t>
        </is>
      </c>
      <c r="B29" s="10" t="inlineStr">
        <is>
          <t>ensaio</t>
        </is>
      </c>
      <c r="C29" s="12" t="n"/>
      <c r="D29" s="12" t="n"/>
      <c r="E29" s="14">
        <f>IF(OR(C29="",D29=""),"",ROUND(C29-D29,2))</f>
        <v/>
      </c>
      <c r="F29" s="12" t="n"/>
      <c r="G29" s="12" t="n"/>
      <c r="H29" s="15">
        <f>IF(OR(C29="",D29="",F29="",G29=""),"",IF(AND(E29&lt;0.1,F29="LIMPO",G29="NÃO"),"APROVADO","REPROVADO"))</f>
        <v/>
      </c>
      <c r="I29" s="12" t="n"/>
    </row>
    <row r="30">
      <c r="A30" s="9" t="inlineStr">
        <is>
          <t>155-02</t>
        </is>
      </c>
      <c r="B30" s="10" t="inlineStr">
        <is>
          <t>ensaio</t>
        </is>
      </c>
      <c r="C30" s="12" t="n"/>
      <c r="D30" s="12" t="n"/>
      <c r="E30" s="14">
        <f>IF(OR(C30="",D30=""),"",ROUND(C30-D30,2))</f>
        <v/>
      </c>
      <c r="F30" s="12" t="n"/>
      <c r="G30" s="12" t="n"/>
      <c r="H30" s="15">
        <f>IF(OR(C30="",D30="",F30="",G30=""),"",IF(AND(E30&lt;0.1,F30="LIMPO",G30="NÃO"),"APROVADO","REPROVADO"))</f>
        <v/>
      </c>
      <c r="I30" s="12" t="n"/>
    </row>
    <row r="31">
      <c r="A31" s="9" t="inlineStr">
        <is>
          <t>155-03</t>
        </is>
      </c>
      <c r="B31" s="10" t="inlineStr">
        <is>
          <t>ensaio</t>
        </is>
      </c>
      <c r="C31" s="12" t="n"/>
      <c r="D31" s="12" t="n"/>
      <c r="E31" s="14">
        <f>IF(OR(C31="",D31=""),"",ROUND(C31-D31,2))</f>
        <v/>
      </c>
      <c r="F31" s="12" t="n"/>
      <c r="G31" s="12" t="n"/>
      <c r="H31" s="15">
        <f>IF(OR(C31="",D31="",F31="",G31=""),"",IF(AND(E31&lt;0.1,F31="LIMPO",G31="NÃO"),"APROVADO","REPROVADO"))</f>
        <v/>
      </c>
      <c r="I31" s="12" t="n"/>
    </row>
    <row r="32">
      <c r="A32" s="9" t="inlineStr">
        <is>
          <t>155-04</t>
        </is>
      </c>
      <c r="B32" s="10" t="inlineStr">
        <is>
          <t>ensaio</t>
        </is>
      </c>
      <c r="C32" s="12" t="n"/>
      <c r="D32" s="12" t="n"/>
      <c r="E32" s="14">
        <f>IF(OR(C32="",D32=""),"",ROUND(C32-D32,2))</f>
        <v/>
      </c>
      <c r="F32" s="12" t="n"/>
      <c r="G32" s="12" t="n"/>
      <c r="H32" s="15">
        <f>IF(OR(C32="",D32="",F32="",G32=""),"",IF(AND(E32&lt;0.1,F32="LIMPO",G32="NÃO"),"APROVADO","REPROVADO"))</f>
        <v/>
      </c>
      <c r="I32" s="12" t="n"/>
    </row>
    <row r="33">
      <c r="A33" s="9" t="inlineStr">
        <is>
          <t>155-05</t>
        </is>
      </c>
      <c r="B33" s="10" t="inlineStr">
        <is>
          <t>ensaio</t>
        </is>
      </c>
      <c r="C33" s="12" t="n"/>
      <c r="D33" s="12" t="n"/>
      <c r="E33" s="14">
        <f>IF(OR(C33="",D33=""),"",ROUND(C33-D33,2))</f>
        <v/>
      </c>
      <c r="F33" s="12" t="n"/>
      <c r="G33" s="12" t="n"/>
      <c r="H33" s="15">
        <f>IF(OR(C33="",D33="",F33="",G33=""),"",IF(AND(E33&lt;0.1,F33="LIMPO",G33="NÃO"),"APROVADO","REPROVADO"))</f>
        <v/>
      </c>
      <c r="I33" s="12" t="n"/>
    </row>
    <row r="34">
      <c r="A34" s="9" t="inlineStr">
        <is>
          <t>155-06</t>
        </is>
      </c>
      <c r="B34" s="10" t="inlineStr">
        <is>
          <t>ensaio</t>
        </is>
      </c>
      <c r="C34" s="12" t="n"/>
      <c r="D34" s="12" t="n"/>
      <c r="E34" s="14">
        <f>IF(OR(C34="",D34=""),"",ROUND(C34-D34,2))</f>
        <v/>
      </c>
      <c r="F34" s="12" t="n"/>
      <c r="G34" s="12" t="n"/>
      <c r="H34" s="15">
        <f>IF(OR(C34="",D34="",F34="",G34=""),"",IF(AND(E34&lt;0.1,F34="LIMPO",G34="NÃO"),"APROVADO","REPROVADO"))</f>
        <v/>
      </c>
      <c r="I34" s="12" t="n"/>
    </row>
    <row r="35">
      <c r="A35" s="9" t="inlineStr">
        <is>
          <t>155-07</t>
        </is>
      </c>
      <c r="B35" s="10" t="inlineStr">
        <is>
          <t>ensaio</t>
        </is>
      </c>
      <c r="C35" s="12" t="n"/>
      <c r="D35" s="12" t="n"/>
      <c r="E35" s="14">
        <f>IF(OR(C35="",D35=""),"",ROUND(C35-D35,2))</f>
        <v/>
      </c>
      <c r="F35" s="12" t="n"/>
      <c r="G35" s="12" t="n"/>
      <c r="H35" s="15">
        <f>IF(OR(C35="",D35="",F35="",G35=""),"",IF(AND(E35&lt;0.1,F35="LIMPO",G35="NÃO"),"APROVADO","REPROVADO"))</f>
        <v/>
      </c>
      <c r="I35" s="12" t="n"/>
    </row>
    <row r="36">
      <c r="A36" s="9" t="inlineStr">
        <is>
          <t>155-08</t>
        </is>
      </c>
      <c r="B36" s="10" t="inlineStr">
        <is>
          <t>ensaio</t>
        </is>
      </c>
      <c r="C36" s="12" t="n"/>
      <c r="D36" s="12" t="n"/>
      <c r="E36" s="14">
        <f>IF(OR(C36="",D36=""),"",ROUND(C36-D36,2))</f>
        <v/>
      </c>
      <c r="F36" s="12" t="n"/>
      <c r="G36" s="12" t="n"/>
      <c r="H36" s="15">
        <f>IF(OR(C36="",D36="",F36="",G36=""),"",IF(AND(E36&lt;0.1,F36="LIMPO",G36="NÃO"),"APROVADO","REPROVADO"))</f>
        <v/>
      </c>
      <c r="I36" s="12" t="n"/>
    </row>
    <row r="37">
      <c r="A37" s="9" t="inlineStr">
        <is>
          <t>155-09</t>
        </is>
      </c>
      <c r="B37" s="10" t="inlineStr">
        <is>
          <t>ensaio</t>
        </is>
      </c>
      <c r="C37" s="12" t="n"/>
      <c r="D37" s="12" t="n"/>
      <c r="E37" s="14">
        <f>IF(OR(C37="",D37=""),"",ROUND(C37-D37,2))</f>
        <v/>
      </c>
      <c r="F37" s="12" t="n"/>
      <c r="G37" s="12" t="n"/>
      <c r="H37" s="15">
        <f>IF(OR(C37="",D37="",F37="",G37=""),"",IF(AND(E37&lt;0.1,F37="LIMPO",G37="NÃO"),"APROVADO","REPROVADO"))</f>
        <v/>
      </c>
      <c r="I37" s="12" t="n"/>
    </row>
    <row r="38">
      <c r="A38" s="9" t="inlineStr">
        <is>
          <t>155-10</t>
        </is>
      </c>
      <c r="B38" s="10" t="inlineStr">
        <is>
          <t>ensaio</t>
        </is>
      </c>
      <c r="C38" s="12" t="n"/>
      <c r="D38" s="12" t="n"/>
      <c r="E38" s="14">
        <f>IF(OR(C38="",D38=""),"",ROUND(C38-D38,2))</f>
        <v/>
      </c>
      <c r="F38" s="12" t="n"/>
      <c r="G38" s="12" t="n"/>
      <c r="H38" s="15">
        <f>IF(OR(C38="",D38="",F38="",G38=""),"",IF(AND(E38&lt;0.1,F38="LIMPO",G38="NÃO"),"APROVADO","REPROVADO"))</f>
        <v/>
      </c>
      <c r="I38" s="12" t="n"/>
    </row>
    <row r="39">
      <c r="A39" s="9" t="inlineStr">
        <is>
          <t>155-11</t>
        </is>
      </c>
      <c r="B39" s="10" t="inlineStr">
        <is>
          <t>CTRL</t>
        </is>
      </c>
      <c r="C39" s="12" t="n"/>
      <c r="D39" s="12" t="n"/>
      <c r="E39" s="14">
        <f>IF(OR(C39="",D39=""),"",ROUND(C39-D39,2))</f>
        <v/>
      </c>
      <c r="F39" s="12" t="n"/>
      <c r="G39" s="12" t="n"/>
      <c r="H39" s="15">
        <f>IF(OR(C39="",D39="",F39="",G39=""),"",IF(AND(E39&lt;0.1,F39="LIMPO",G39="NÃO"),"APROVADO","REPROVADO"))</f>
        <v/>
      </c>
      <c r="I39" s="12" t="n"/>
    </row>
    <row r="40">
      <c r="A40" s="9" t="inlineStr">
        <is>
          <t>155-12</t>
        </is>
      </c>
      <c r="B40" s="10" t="inlineStr">
        <is>
          <t>CTRL</t>
        </is>
      </c>
      <c r="C40" s="12" t="n"/>
      <c r="D40" s="12" t="n"/>
      <c r="E40" s="14">
        <f>IF(OR(C40="",D40=""),"",ROUND(C40-D40,2))</f>
        <v/>
      </c>
      <c r="F40" s="12" t="n"/>
      <c r="G40" s="12" t="n"/>
      <c r="H40" s="15">
        <f>IF(OR(C40="",D40="",F40="",G40=""),"",IF(AND(E40&lt;0.1,F40="LIMPO",G40="NÃO"),"APROVADO","REPROVADO"))</f>
        <v/>
      </c>
      <c r="I40" s="12" t="n"/>
    </row>
    <row r="41">
      <c r="A41" s="9" t="inlineStr">
        <is>
          <t>156-01</t>
        </is>
      </c>
      <c r="B41" s="10" t="inlineStr">
        <is>
          <t>ensaio</t>
        </is>
      </c>
      <c r="C41" s="12" t="n"/>
      <c r="D41" s="12" t="n"/>
      <c r="E41" s="14">
        <f>IF(OR(C41="",D41=""),"",ROUND(C41-D41,2))</f>
        <v/>
      </c>
      <c r="F41" s="12" t="n"/>
      <c r="G41" s="12" t="n"/>
      <c r="H41" s="15">
        <f>IF(OR(C41="",D41="",F41="",G41=""),"",IF(AND(E41&lt;0.1,F41="LIMPO",G41="NÃO"),"APROVADO","REPROVADO"))</f>
        <v/>
      </c>
      <c r="I41" s="12" t="n"/>
    </row>
    <row r="42">
      <c r="A42" s="9" t="inlineStr">
        <is>
          <t>156-02</t>
        </is>
      </c>
      <c r="B42" s="10" t="inlineStr">
        <is>
          <t>ensaio</t>
        </is>
      </c>
      <c r="C42" s="12" t="n"/>
      <c r="D42" s="12" t="n"/>
      <c r="E42" s="14">
        <f>IF(OR(C42="",D42=""),"",ROUND(C42-D42,2))</f>
        <v/>
      </c>
      <c r="F42" s="12" t="n"/>
      <c r="G42" s="12" t="n"/>
      <c r="H42" s="15">
        <f>IF(OR(C42="",D42="",F42="",G42=""),"",IF(AND(E42&lt;0.1,F42="LIMPO",G42="NÃO"),"APROVADO","REPROVADO"))</f>
        <v/>
      </c>
      <c r="I42" s="12" t="n"/>
    </row>
    <row r="43">
      <c r="A43" s="9" t="inlineStr">
        <is>
          <t>156-03</t>
        </is>
      </c>
      <c r="B43" s="10" t="inlineStr">
        <is>
          <t>ensaio</t>
        </is>
      </c>
      <c r="C43" s="12" t="n"/>
      <c r="D43" s="12" t="n"/>
      <c r="E43" s="14">
        <f>IF(OR(C43="",D43=""),"",ROUND(C43-D43,2))</f>
        <v/>
      </c>
      <c r="F43" s="12" t="n"/>
      <c r="G43" s="12" t="n"/>
      <c r="H43" s="15">
        <f>IF(OR(C43="",D43="",F43="",G43=""),"",IF(AND(E43&lt;0.1,F43="LIMPO",G43="NÃO"),"APROVADO","REPROVADO"))</f>
        <v/>
      </c>
      <c r="I43" s="12" t="n"/>
    </row>
    <row r="44">
      <c r="A44" s="9" t="inlineStr">
        <is>
          <t>156-04</t>
        </is>
      </c>
      <c r="B44" s="10" t="inlineStr">
        <is>
          <t>ensaio</t>
        </is>
      </c>
      <c r="C44" s="12" t="n"/>
      <c r="D44" s="12" t="n"/>
      <c r="E44" s="14">
        <f>IF(OR(C44="",D44=""),"",ROUND(C44-D44,2))</f>
        <v/>
      </c>
      <c r="F44" s="12" t="n"/>
      <c r="G44" s="12" t="n"/>
      <c r="H44" s="15">
        <f>IF(OR(C44="",D44="",F44="",G44=""),"",IF(AND(E44&lt;0.1,F44="LIMPO",G44="NÃO"),"APROVADO","REPROVADO"))</f>
        <v/>
      </c>
      <c r="I44" s="12" t="n"/>
    </row>
    <row r="45">
      <c r="A45" s="9" t="inlineStr">
        <is>
          <t>156-05</t>
        </is>
      </c>
      <c r="B45" s="10" t="inlineStr">
        <is>
          <t>ensaio</t>
        </is>
      </c>
      <c r="C45" s="12" t="n"/>
      <c r="D45" s="12" t="n"/>
      <c r="E45" s="14">
        <f>IF(OR(C45="",D45=""),"",ROUND(C45-D45,2))</f>
        <v/>
      </c>
      <c r="F45" s="12" t="n"/>
      <c r="G45" s="12" t="n"/>
      <c r="H45" s="15">
        <f>IF(OR(C45="",D45="",F45="",G45=""),"",IF(AND(E45&lt;0.1,F45="LIMPO",G45="NÃO"),"APROVADO","REPROVADO"))</f>
        <v/>
      </c>
      <c r="I45" s="12" t="n"/>
    </row>
    <row r="46">
      <c r="A46" s="9" t="inlineStr">
        <is>
          <t>156-06</t>
        </is>
      </c>
      <c r="B46" s="10" t="inlineStr">
        <is>
          <t>ensaio</t>
        </is>
      </c>
      <c r="C46" s="12" t="n"/>
      <c r="D46" s="12" t="n"/>
      <c r="E46" s="14">
        <f>IF(OR(C46="",D46=""),"",ROUND(C46-D46,2))</f>
        <v/>
      </c>
      <c r="F46" s="12" t="n"/>
      <c r="G46" s="12" t="n"/>
      <c r="H46" s="15">
        <f>IF(OR(C46="",D46="",F46="",G46=""),"",IF(AND(E46&lt;0.1,F46="LIMPO",G46="NÃO"),"APROVADO","REPROVADO"))</f>
        <v/>
      </c>
      <c r="I46" s="12" t="n"/>
    </row>
    <row r="47">
      <c r="A47" s="9" t="inlineStr">
        <is>
          <t>156-07</t>
        </is>
      </c>
      <c r="B47" s="10" t="inlineStr">
        <is>
          <t>ensaio</t>
        </is>
      </c>
      <c r="C47" s="12" t="n"/>
      <c r="D47" s="12" t="n"/>
      <c r="E47" s="14">
        <f>IF(OR(C47="",D47=""),"",ROUND(C47-D47,2))</f>
        <v/>
      </c>
      <c r="F47" s="12" t="n"/>
      <c r="G47" s="12" t="n"/>
      <c r="H47" s="15">
        <f>IF(OR(C47="",D47="",F47="",G47=""),"",IF(AND(E47&lt;0.1,F47="LIMPO",G47="NÃO"),"APROVADO","REPROVADO"))</f>
        <v/>
      </c>
      <c r="I47" s="12" t="n"/>
    </row>
    <row r="48">
      <c r="A48" s="9" t="inlineStr">
        <is>
          <t>156-08</t>
        </is>
      </c>
      <c r="B48" s="10" t="inlineStr">
        <is>
          <t>ensaio</t>
        </is>
      </c>
      <c r="C48" s="12" t="n"/>
      <c r="D48" s="12" t="n"/>
      <c r="E48" s="14">
        <f>IF(OR(C48="",D48=""),"",ROUND(C48-D48,2))</f>
        <v/>
      </c>
      <c r="F48" s="12" t="n"/>
      <c r="G48" s="12" t="n"/>
      <c r="H48" s="15">
        <f>IF(OR(C48="",D48="",F48="",G48=""),"",IF(AND(E48&lt;0.1,F48="LIMPO",G48="NÃO"),"APROVADO","REPROVADO"))</f>
        <v/>
      </c>
      <c r="I48" s="12" t="n"/>
    </row>
    <row r="49">
      <c r="A49" s="9" t="inlineStr">
        <is>
          <t>156-09</t>
        </is>
      </c>
      <c r="B49" s="10" t="inlineStr">
        <is>
          <t>ensaio</t>
        </is>
      </c>
      <c r="C49" s="12" t="n"/>
      <c r="D49" s="12" t="n"/>
      <c r="E49" s="14">
        <f>IF(OR(C49="",D49=""),"",ROUND(C49-D49,2))</f>
        <v/>
      </c>
      <c r="F49" s="12" t="n"/>
      <c r="G49" s="12" t="n"/>
      <c r="H49" s="15">
        <f>IF(OR(C49="",D49="",F49="",G49=""),"",IF(AND(E49&lt;0.1,F49="LIMPO",G49="NÃO"),"APROVADO","REPROVADO"))</f>
        <v/>
      </c>
      <c r="I49" s="12" t="n"/>
    </row>
    <row r="50">
      <c r="A50" s="9" t="inlineStr">
        <is>
          <t>156-10</t>
        </is>
      </c>
      <c r="B50" s="10" t="inlineStr">
        <is>
          <t>ensaio</t>
        </is>
      </c>
      <c r="C50" s="12" t="n"/>
      <c r="D50" s="12" t="n"/>
      <c r="E50" s="14">
        <f>IF(OR(C50="",D50=""),"",ROUND(C50-D50,2))</f>
        <v/>
      </c>
      <c r="F50" s="12" t="n"/>
      <c r="G50" s="12" t="n"/>
      <c r="H50" s="15">
        <f>IF(OR(C50="",D50="",F50="",G50=""),"",IF(AND(E50&lt;0.1,F50="LIMPO",G50="NÃO"),"APROVADO","REPROVADO"))</f>
        <v/>
      </c>
      <c r="I50" s="12" t="n"/>
    </row>
    <row r="51">
      <c r="A51" s="9" t="inlineStr">
        <is>
          <t>156-11</t>
        </is>
      </c>
      <c r="B51" s="10" t="inlineStr">
        <is>
          <t>CTRL</t>
        </is>
      </c>
      <c r="C51" s="12" t="n"/>
      <c r="D51" s="12" t="n"/>
      <c r="E51" s="14">
        <f>IF(OR(C51="",D51=""),"",ROUND(C51-D51,2))</f>
        <v/>
      </c>
      <c r="F51" s="12" t="n"/>
      <c r="G51" s="12" t="n"/>
      <c r="H51" s="15">
        <f>IF(OR(C51="",D51="",F51="",G51=""),"",IF(AND(E51&lt;0.1,F51="LIMPO",G51="NÃO"),"APROVADO","REPROVADO"))</f>
        <v/>
      </c>
      <c r="I51" s="12" t="n"/>
    </row>
    <row r="52">
      <c r="A52" s="9" t="inlineStr">
        <is>
          <t>156-12</t>
        </is>
      </c>
      <c r="B52" s="10" t="inlineStr">
        <is>
          <t>CTRL</t>
        </is>
      </c>
      <c r="C52" s="12" t="n"/>
      <c r="D52" s="12" t="n"/>
      <c r="E52" s="14">
        <f>IF(OR(C52="",D52=""),"",ROUND(C52-D52,2))</f>
        <v/>
      </c>
      <c r="F52" s="12" t="n"/>
      <c r="G52" s="12" t="n"/>
      <c r="H52" s="15">
        <f>IF(OR(C52="",D52="",F52="",G52=""),"",IF(AND(E52&lt;0.1,F52="LIMPO",G52="NÃO"),"APROVADO","REPROVADO"))</f>
        <v/>
      </c>
      <c r="I52" s="12" t="n"/>
    </row>
    <row r="54">
      <c r="A54" s="5" t="inlineStr">
        <is>
          <t>VALIDAÇÃO DO MÉTODO</t>
        </is>
      </c>
    </row>
    <row r="55">
      <c r="A55" s="3" t="inlineStr">
        <is>
          <t>Controles negativos que vazaram:</t>
        </is>
      </c>
      <c r="D55" s="5">
        <f>COUNTIFS(B5:B52,"CTRL",H5:H52,"REPROVADO")</f>
        <v/>
      </c>
    </row>
    <row r="56">
      <c r="A56" s="3" t="inlineStr">
        <is>
          <t>Controles negativos no total:</t>
        </is>
      </c>
      <c r="D56" s="5">
        <f>COUNTIF(B5:B52,"CTRL")</f>
        <v/>
      </c>
    </row>
    <row r="57">
      <c r="A57" s="5" t="inlineStr">
        <is>
          <t>Método é válido?</t>
        </is>
      </c>
      <c r="D57" s="16">
        <f>IF(D56=0,"",IF(D55=D56,"SIM — método detecta vazamento","NÃO — CONTROLE NEGATIVO NÃO VAZOU. RESULTADO INVÁLIDO, REFAZER"))</f>
        <v/>
      </c>
    </row>
    <row r="59">
      <c r="A59" s="3" t="inlineStr">
        <is>
          <t>Amostras de ensaio aprovadas:</t>
        </is>
      </c>
      <c r="D59" s="5">
        <f>COUNTIFS(B5:B52,"ensaio",H5:H52,"APROVADO")</f>
        <v/>
      </c>
    </row>
    <row r="60">
      <c r="A60" s="3" t="inlineStr">
        <is>
          <t>Amostras de ensaio avaliadas:</t>
        </is>
      </c>
      <c r="D60" s="5">
        <f>COUNTIFS(B5:B52,"ensaio",H5:H52,"APROVADO")+COUNTIFS(B5:B52,"ensaio",H5:H52,"REPROVADO")</f>
        <v/>
      </c>
    </row>
    <row r="61">
      <c r="A61" s="5" t="inlineStr">
        <is>
          <t>Taxa de aprovação:</t>
        </is>
      </c>
      <c r="D61" s="17">
        <f>IF(D60=0,"",D59/D60)</f>
        <v/>
      </c>
    </row>
  </sheetData>
  <mergeCells count="2">
    <mergeCell ref="A1:I1"/>
    <mergeCell ref="A2:I2"/>
  </mergeCells>
  <dataValidations count="2">
    <dataValidation sqref="F5 F6 F7 F8 F9 F10 F11 F12 F13 F14 F15 F16 F17 F18 F19 F20 F21 F22 F23 F24 F25 F26 F27 F28 F29 F30 F31 F32 F33 F34 F35 F36 F37 F38 F39 F40 F41 F42 F43 F44 F45 F46 F47 F48 F49 F50 F51 F52" showDropDown="0" showInputMessage="0" showErrorMessage="0" allowBlank="1" type="list">
      <formula1>"LIMPO,MANCHADO"</formula1>
    </dataValidation>
    <dataValidation sqref="G5 G6 G7 G8 G9 G10 G11 G12 G13 G14 G15 G16 G17 G18 G19 G20 G21 G22 G23 G24 G25 G26 G27 G28 G29 G30 G31 G32 G33 G34 G35 G36 G37 G38 G39 G40 G41 G42 G43 G44 G45 G46 G47 G48 G49 G50 G51 G52" showDropDown="0" showInputMessage="0" showErrorMessage="0" allowBlank="1" type="list">
      <formula1>"NÃO,SIM"</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7"/>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15" customWidth="1" min="2" max="2"/>
    <col width="18" customWidth="1" min="3" max="3"/>
    <col width="13" customWidth="1" min="4" max="4"/>
    <col width="26" customWidth="1" min="5" max="5"/>
    <col width="10" customWidth="1" min="6" max="6"/>
    <col width="10" customWidth="1" min="7" max="7"/>
    <col width="10" customWidth="1" min="8" max="8"/>
    <col width="10" customWidth="1" min="9" max="9"/>
    <col width="10" customWidth="1" min="10" max="10"/>
    <col width="10" customWidth="1" min="11" max="11"/>
    <col width="13" customWidth="1" min="12" max="12"/>
  </cols>
  <sheetData>
    <row r="1" ht="26" customHeight="1">
      <c r="A1" s="1" t="inlineStr">
        <is>
          <t>ENSAIO 2 — TRANSFERÊNCIA DE VAPOR (7 dias, 40 °C)</t>
        </is>
      </c>
    </row>
    <row r="2" ht="15" customHeight="1">
      <c r="A2" s="2" t="inlineStr">
        <is>
          <t>200 g de água, pote fechado, estufa a 40 °C. Pesar todo dia. É este ensaio que separa "não vaza" de "hermético". APROVA se a perda acumulada for ≤ 2× a da referência selada da mesma litragem.</t>
        </is>
      </c>
    </row>
    <row r="4" ht="30" customHeight="1">
      <c r="A4" s="8" t="inlineStr">
        <is>
          <t>ID amostra</t>
        </is>
      </c>
      <c r="B4" s="8" t="inlineStr">
        <is>
          <t>Referência</t>
        </is>
      </c>
      <c r="C4" s="8" t="inlineStr">
        <is>
          <t>Tipo</t>
        </is>
      </c>
      <c r="D4" s="8" t="inlineStr">
        <is>
          <t>Dia 0 (g)</t>
        </is>
      </c>
      <c r="E4" s="8" t="inlineStr">
        <is>
          <t>Dia 1 (g)</t>
        </is>
      </c>
      <c r="F4" s="8" t="inlineStr">
        <is>
          <t>Dia 2 (g)</t>
        </is>
      </c>
      <c r="G4" s="8" t="inlineStr">
        <is>
          <t>Dia 3 (g)</t>
        </is>
      </c>
      <c r="H4" s="8" t="inlineStr">
        <is>
          <t>Dia 4 (g)</t>
        </is>
      </c>
      <c r="I4" s="8" t="inlineStr">
        <is>
          <t>Dia 5 (g)</t>
        </is>
      </c>
      <c r="J4" s="8" t="inlineStr">
        <is>
          <t>Dia 6 (g)</t>
        </is>
      </c>
      <c r="K4" s="8" t="inlineStr">
        <is>
          <t>Dia 7 (g)</t>
        </is>
      </c>
      <c r="L4" s="8" t="inlineStr">
        <is>
          <t>Perda 7d (g)</t>
        </is>
      </c>
    </row>
    <row r="5">
      <c r="A5" s="9" t="inlineStr">
        <is>
          <t>151-01</t>
        </is>
      </c>
      <c r="B5" s="10" t="inlineStr">
        <is>
          <t>151.012.001</t>
        </is>
      </c>
      <c r="C5" s="10" t="inlineStr">
        <is>
          <t>ensaio</t>
        </is>
      </c>
      <c r="D5" s="12" t="n"/>
      <c r="E5" s="12" t="n"/>
      <c r="F5" s="12" t="n"/>
      <c r="G5" s="12" t="n"/>
      <c r="H5" s="12" t="n"/>
      <c r="I5" s="12" t="n"/>
      <c r="J5" s="12" t="n"/>
      <c r="K5" s="12" t="n"/>
      <c r="L5" s="18">
        <f>IF(OR(D5="",K5=""),"",ROUND(D5-K5,2))</f>
        <v/>
      </c>
    </row>
    <row r="6">
      <c r="A6" s="9" t="inlineStr">
        <is>
          <t>151-02</t>
        </is>
      </c>
      <c r="B6" s="10" t="inlineStr">
        <is>
          <t>151.012.001</t>
        </is>
      </c>
      <c r="C6" s="10" t="inlineStr">
        <is>
          <t>ensaio</t>
        </is>
      </c>
      <c r="D6" s="12" t="n"/>
      <c r="E6" s="12" t="n"/>
      <c r="F6" s="12" t="n"/>
      <c r="G6" s="12" t="n"/>
      <c r="H6" s="12" t="n"/>
      <c r="I6" s="12" t="n"/>
      <c r="J6" s="12" t="n"/>
      <c r="K6" s="12" t="n"/>
      <c r="L6" s="18">
        <f>IF(OR(D6="",K6=""),"",ROUND(D6-K6,2))</f>
        <v/>
      </c>
    </row>
    <row r="7">
      <c r="A7" s="9" t="inlineStr">
        <is>
          <t>151-03</t>
        </is>
      </c>
      <c r="B7" s="10" t="inlineStr">
        <is>
          <t>151.012.001</t>
        </is>
      </c>
      <c r="C7" s="10" t="inlineStr">
        <is>
          <t>ensaio</t>
        </is>
      </c>
      <c r="D7" s="12" t="n"/>
      <c r="E7" s="12" t="n"/>
      <c r="F7" s="12" t="n"/>
      <c r="G7" s="12" t="n"/>
      <c r="H7" s="12" t="n"/>
      <c r="I7" s="12" t="n"/>
      <c r="J7" s="12" t="n"/>
      <c r="K7" s="12" t="n"/>
      <c r="L7" s="18">
        <f>IF(OR(D7="",K7=""),"",ROUND(D7-K7,2))</f>
        <v/>
      </c>
    </row>
    <row r="8">
      <c r="A8" s="9" t="inlineStr">
        <is>
          <t>151-REF</t>
        </is>
      </c>
      <c r="B8" s="10" t="inlineStr">
        <is>
          <t>151.012.001</t>
        </is>
      </c>
      <c r="C8" s="13" t="inlineStr">
        <is>
          <t>SELADA</t>
        </is>
      </c>
      <c r="D8" s="12" t="n"/>
      <c r="E8" s="12" t="n"/>
      <c r="F8" s="12" t="n"/>
      <c r="G8" s="12" t="n"/>
      <c r="H8" s="12" t="n"/>
      <c r="I8" s="12" t="n"/>
      <c r="J8" s="12" t="n"/>
      <c r="K8" s="12" t="n"/>
      <c r="L8" s="18">
        <f>IF(OR(D8="",K8=""),"",ROUND(D8-K8,2))</f>
        <v/>
      </c>
    </row>
    <row r="9">
      <c r="A9" s="9" t="inlineStr">
        <is>
          <t>154-01</t>
        </is>
      </c>
      <c r="B9" s="10" t="inlineStr">
        <is>
          <t>154.012.001</t>
        </is>
      </c>
      <c r="C9" s="10" t="inlineStr">
        <is>
          <t>ensaio</t>
        </is>
      </c>
      <c r="D9" s="12" t="n"/>
      <c r="E9" s="12" t="n"/>
      <c r="F9" s="12" t="n"/>
      <c r="G9" s="12" t="n"/>
      <c r="H9" s="12" t="n"/>
      <c r="I9" s="12" t="n"/>
      <c r="J9" s="12" t="n"/>
      <c r="K9" s="12" t="n"/>
      <c r="L9" s="18">
        <f>IF(OR(D9="",K9=""),"",ROUND(D9-K9,2))</f>
        <v/>
      </c>
    </row>
    <row r="10">
      <c r="A10" s="9" t="inlineStr">
        <is>
          <t>154-02</t>
        </is>
      </c>
      <c r="B10" s="10" t="inlineStr">
        <is>
          <t>154.012.001</t>
        </is>
      </c>
      <c r="C10" s="10" t="inlineStr">
        <is>
          <t>ensaio</t>
        </is>
      </c>
      <c r="D10" s="12" t="n"/>
      <c r="E10" s="12" t="n"/>
      <c r="F10" s="12" t="n"/>
      <c r="G10" s="12" t="n"/>
      <c r="H10" s="12" t="n"/>
      <c r="I10" s="12" t="n"/>
      <c r="J10" s="12" t="n"/>
      <c r="K10" s="12" t="n"/>
      <c r="L10" s="18">
        <f>IF(OR(D10="",K10=""),"",ROUND(D10-K10,2))</f>
        <v/>
      </c>
    </row>
    <row r="11">
      <c r="A11" s="9" t="inlineStr">
        <is>
          <t>154-03</t>
        </is>
      </c>
      <c r="B11" s="10" t="inlineStr">
        <is>
          <t>154.012.001</t>
        </is>
      </c>
      <c r="C11" s="10" t="inlineStr">
        <is>
          <t>ensaio</t>
        </is>
      </c>
      <c r="D11" s="12" t="n"/>
      <c r="E11" s="12" t="n"/>
      <c r="F11" s="12" t="n"/>
      <c r="G11" s="12" t="n"/>
      <c r="H11" s="12" t="n"/>
      <c r="I11" s="12" t="n"/>
      <c r="J11" s="12" t="n"/>
      <c r="K11" s="12" t="n"/>
      <c r="L11" s="18">
        <f>IF(OR(D11="",K11=""),"",ROUND(D11-K11,2))</f>
        <v/>
      </c>
    </row>
    <row r="12">
      <c r="A12" s="9" t="inlineStr">
        <is>
          <t>154-REF</t>
        </is>
      </c>
      <c r="B12" s="10" t="inlineStr">
        <is>
          <t>154.012.001</t>
        </is>
      </c>
      <c r="C12" s="13" t="inlineStr">
        <is>
          <t>SELADA</t>
        </is>
      </c>
      <c r="D12" s="12" t="n"/>
      <c r="E12" s="12" t="n"/>
      <c r="F12" s="12" t="n"/>
      <c r="G12" s="12" t="n"/>
      <c r="H12" s="12" t="n"/>
      <c r="I12" s="12" t="n"/>
      <c r="J12" s="12" t="n"/>
      <c r="K12" s="12" t="n"/>
      <c r="L12" s="18">
        <f>IF(OR(D12="",K12=""),"",ROUND(D12-K12,2))</f>
        <v/>
      </c>
    </row>
    <row r="13">
      <c r="A13" s="9" t="inlineStr">
        <is>
          <t>155-01</t>
        </is>
      </c>
      <c r="B13" s="10" t="inlineStr">
        <is>
          <t>155.012.001</t>
        </is>
      </c>
      <c r="C13" s="10" t="inlineStr">
        <is>
          <t>ensaio</t>
        </is>
      </c>
      <c r="D13" s="12" t="n"/>
      <c r="E13" s="12" t="n"/>
      <c r="F13" s="12" t="n"/>
      <c r="G13" s="12" t="n"/>
      <c r="H13" s="12" t="n"/>
      <c r="I13" s="12" t="n"/>
      <c r="J13" s="12" t="n"/>
      <c r="K13" s="12" t="n"/>
      <c r="L13" s="18">
        <f>IF(OR(D13="",K13=""),"",ROUND(D13-K13,2))</f>
        <v/>
      </c>
    </row>
    <row r="14">
      <c r="A14" s="9" t="inlineStr">
        <is>
          <t>155-02</t>
        </is>
      </c>
      <c r="B14" s="10" t="inlineStr">
        <is>
          <t>155.012.001</t>
        </is>
      </c>
      <c r="C14" s="10" t="inlineStr">
        <is>
          <t>ensaio</t>
        </is>
      </c>
      <c r="D14" s="12" t="n"/>
      <c r="E14" s="12" t="n"/>
      <c r="F14" s="12" t="n"/>
      <c r="G14" s="12" t="n"/>
      <c r="H14" s="12" t="n"/>
      <c r="I14" s="12" t="n"/>
      <c r="J14" s="12" t="n"/>
      <c r="K14" s="12" t="n"/>
      <c r="L14" s="18">
        <f>IF(OR(D14="",K14=""),"",ROUND(D14-K14,2))</f>
        <v/>
      </c>
    </row>
    <row r="15">
      <c r="A15" s="9" t="inlineStr">
        <is>
          <t>155-03</t>
        </is>
      </c>
      <c r="B15" s="10" t="inlineStr">
        <is>
          <t>155.012.001</t>
        </is>
      </c>
      <c r="C15" s="10" t="inlineStr">
        <is>
          <t>ensaio</t>
        </is>
      </c>
      <c r="D15" s="12" t="n"/>
      <c r="E15" s="12" t="n"/>
      <c r="F15" s="12" t="n"/>
      <c r="G15" s="12" t="n"/>
      <c r="H15" s="12" t="n"/>
      <c r="I15" s="12" t="n"/>
      <c r="J15" s="12" t="n"/>
      <c r="K15" s="12" t="n"/>
      <c r="L15" s="18">
        <f>IF(OR(D15="",K15=""),"",ROUND(D15-K15,2))</f>
        <v/>
      </c>
    </row>
    <row r="16">
      <c r="A16" s="9" t="inlineStr">
        <is>
          <t>155-REF</t>
        </is>
      </c>
      <c r="B16" s="10" t="inlineStr">
        <is>
          <t>155.012.001</t>
        </is>
      </c>
      <c r="C16" s="13" t="inlineStr">
        <is>
          <t>SELADA</t>
        </is>
      </c>
      <c r="D16" s="12" t="n"/>
      <c r="E16" s="12" t="n"/>
      <c r="F16" s="12" t="n"/>
      <c r="G16" s="12" t="n"/>
      <c r="H16" s="12" t="n"/>
      <c r="I16" s="12" t="n"/>
      <c r="J16" s="12" t="n"/>
      <c r="K16" s="12" t="n"/>
      <c r="L16" s="18">
        <f>IF(OR(D16="",K16=""),"",ROUND(D16-K16,2))</f>
        <v/>
      </c>
    </row>
    <row r="17">
      <c r="A17" s="9" t="inlineStr">
        <is>
          <t>156-01</t>
        </is>
      </c>
      <c r="B17" s="10" t="inlineStr">
        <is>
          <t>156.012.001</t>
        </is>
      </c>
      <c r="C17" s="10" t="inlineStr">
        <is>
          <t>ensaio</t>
        </is>
      </c>
      <c r="D17" s="12" t="n"/>
      <c r="E17" s="12" t="n"/>
      <c r="F17" s="12" t="n"/>
      <c r="G17" s="12" t="n"/>
      <c r="H17" s="12" t="n"/>
      <c r="I17" s="12" t="n"/>
      <c r="J17" s="12" t="n"/>
      <c r="K17" s="12" t="n"/>
      <c r="L17" s="18">
        <f>IF(OR(D17="",K17=""),"",ROUND(D17-K17,2))</f>
        <v/>
      </c>
    </row>
    <row r="18">
      <c r="A18" s="9" t="inlineStr">
        <is>
          <t>156-02</t>
        </is>
      </c>
      <c r="B18" s="10" t="inlineStr">
        <is>
          <t>156.012.001</t>
        </is>
      </c>
      <c r="C18" s="10" t="inlineStr">
        <is>
          <t>ensaio</t>
        </is>
      </c>
      <c r="D18" s="12" t="n"/>
      <c r="E18" s="12" t="n"/>
      <c r="F18" s="12" t="n"/>
      <c r="G18" s="12" t="n"/>
      <c r="H18" s="12" t="n"/>
      <c r="I18" s="12" t="n"/>
      <c r="J18" s="12" t="n"/>
      <c r="K18" s="12" t="n"/>
      <c r="L18" s="18">
        <f>IF(OR(D18="",K18=""),"",ROUND(D18-K18,2))</f>
        <v/>
      </c>
    </row>
    <row r="19">
      <c r="A19" s="9" t="inlineStr">
        <is>
          <t>156-03</t>
        </is>
      </c>
      <c r="B19" s="10" t="inlineStr">
        <is>
          <t>156.012.001</t>
        </is>
      </c>
      <c r="C19" s="10" t="inlineStr">
        <is>
          <t>ensaio</t>
        </is>
      </c>
      <c r="D19" s="12" t="n"/>
      <c r="E19" s="12" t="n"/>
      <c r="F19" s="12" t="n"/>
      <c r="G19" s="12" t="n"/>
      <c r="H19" s="12" t="n"/>
      <c r="I19" s="12" t="n"/>
      <c r="J19" s="12" t="n"/>
      <c r="K19" s="12" t="n"/>
      <c r="L19" s="18">
        <f>IF(OR(D19="",K19=""),"",ROUND(D19-K19,2))</f>
        <v/>
      </c>
    </row>
    <row r="20">
      <c r="A20" s="9" t="inlineStr">
        <is>
          <t>156-REF</t>
        </is>
      </c>
      <c r="B20" s="10" t="inlineStr">
        <is>
          <t>156.012.001</t>
        </is>
      </c>
      <c r="C20" s="13" t="inlineStr">
        <is>
          <t>SELADA</t>
        </is>
      </c>
      <c r="D20" s="12" t="n"/>
      <c r="E20" s="12" t="n"/>
      <c r="F20" s="12" t="n"/>
      <c r="G20" s="12" t="n"/>
      <c r="H20" s="12" t="n"/>
      <c r="I20" s="12" t="n"/>
      <c r="J20" s="12" t="n"/>
      <c r="K20" s="12" t="n"/>
      <c r="L20" s="18">
        <f>IF(OR(D20="",K20=""),"",ROUND(D20-K20,2))</f>
        <v/>
      </c>
    </row>
    <row r="22">
      <c r="A22" s="5" t="inlineStr">
        <is>
          <t>VEREDITO POR REFERÊNCIA — perda média do ensaio contra 2× a referência selada</t>
        </is>
      </c>
    </row>
    <row r="23" ht="30" customHeight="1">
      <c r="A23" s="8" t="inlineStr">
        <is>
          <t>Referência</t>
        </is>
      </c>
      <c r="B23" s="8" t="inlineStr">
        <is>
          <t>Perda média (g)</t>
        </is>
      </c>
      <c r="C23" s="8" t="inlineStr">
        <is>
          <t>Referência selada (g)</t>
        </is>
      </c>
      <c r="D23" s="8" t="inlineStr">
        <is>
          <t>Limite 2× (g)</t>
        </is>
      </c>
      <c r="E23" s="8" t="inlineStr">
        <is>
          <t>VEREDITO</t>
        </is>
      </c>
    </row>
    <row r="24">
      <c r="A24" s="9" t="inlineStr">
        <is>
          <t>151</t>
        </is>
      </c>
      <c r="B24" s="18">
        <f>IFERROR(ROUND(AVERAGE(L5:L7),2),"")</f>
        <v/>
      </c>
      <c r="C24" s="18">
        <f>L8</f>
        <v/>
      </c>
      <c r="D24" s="18">
        <f>IF(C24="","",C24*2)</f>
        <v/>
      </c>
      <c r="E24" s="19">
        <f>IF(OR(B24="",C24=""),"",IF(B24&lt;=D24,"APROVADO — sustenta 'hermético'","REPROVADO — usar 'não vaza'"))</f>
        <v/>
      </c>
    </row>
    <row r="25">
      <c r="A25" s="9" t="inlineStr">
        <is>
          <t>154</t>
        </is>
      </c>
      <c r="B25" s="18">
        <f>IFERROR(ROUND(AVERAGE(L9:L11),2),"")</f>
        <v/>
      </c>
      <c r="C25" s="18">
        <f>L12</f>
        <v/>
      </c>
      <c r="D25" s="18">
        <f>IF(C25="","",C25*2)</f>
        <v/>
      </c>
      <c r="E25" s="19">
        <f>IF(OR(B25="",C25=""),"",IF(B25&lt;=D25,"APROVADO — sustenta 'hermético'","REPROVADO — usar 'não vaza'"))</f>
        <v/>
      </c>
    </row>
    <row r="26">
      <c r="A26" s="9" t="inlineStr">
        <is>
          <t>155</t>
        </is>
      </c>
      <c r="B26" s="18">
        <f>IFERROR(ROUND(AVERAGE(L13:L15),2),"")</f>
        <v/>
      </c>
      <c r="C26" s="18">
        <f>L16</f>
        <v/>
      </c>
      <c r="D26" s="18">
        <f>IF(C26="","",C26*2)</f>
        <v/>
      </c>
      <c r="E26" s="19">
        <f>IF(OR(B26="",C26=""),"",IF(B26&lt;=D26,"APROVADO — sustenta 'hermético'","REPROVADO — usar 'não vaza'"))</f>
        <v/>
      </c>
    </row>
    <row r="27">
      <c r="A27" s="9" t="inlineStr">
        <is>
          <t>156</t>
        </is>
      </c>
      <c r="B27" s="18">
        <f>IFERROR(ROUND(AVERAGE(L17:L19),2),"")</f>
        <v/>
      </c>
      <c r="C27" s="18">
        <f>L20</f>
        <v/>
      </c>
      <c r="D27" s="18">
        <f>IF(C27="","",C27*2)</f>
        <v/>
      </c>
      <c r="E27" s="19">
        <f>IF(OR(B27="",C27=""),"",IF(B27&lt;=D27,"APROVADO — sustenta 'hermético'","REPROVADO — usar 'não vaza'"))</f>
        <v/>
      </c>
    </row>
  </sheetData>
  <mergeCells count="2">
    <mergeCell ref="A2:L2"/>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3"/>
  <sheetViews>
    <sheetView workbookViewId="0">
      <pane ySplit="4" topLeftCell="A5" activePane="bottomLeft" state="frozen"/>
      <selection pane="bottomLeft" activeCell="A1" sqref="A1"/>
    </sheetView>
  </sheetViews>
  <sheetFormatPr baseColWidth="8" defaultRowHeight="15"/>
  <cols>
    <col width="14" customWidth="1" min="1" max="1"/>
    <col width="12" customWidth="1" min="2" max="2"/>
    <col width="22" customWidth="1" min="3" max="3"/>
    <col width="15" customWidth="1" min="4" max="4"/>
    <col width="15" customWidth="1" min="5" max="5"/>
    <col width="15" customWidth="1" min="6" max="6"/>
    <col width="15" customWidth="1" min="7" max="7"/>
    <col width="18" customWidth="1" min="8" max="8"/>
    <col width="14" customWidth="1" min="9" max="9"/>
    <col width="30" customWidth="1" min="10" max="10"/>
  </cols>
  <sheetData>
    <row r="1" ht="26" customHeight="1">
      <c r="A1" s="1" t="inlineStr">
        <is>
          <t>MEDIÇÃO DA TRAVA — curso livre e a tesoura abrir/vedar</t>
        </is>
      </c>
    </row>
    <row r="2" ht="15" customHeight="1">
      <c r="A2" s="2" t="inlineStr">
        <is>
          <t>A medição mais importante do protocolo. Mede com e sem perfil de vedação colado (dupla-face). Se a força de ABRIR sobe muito, qualquer projeto de gaxeta está reprovado por uso — e provavelmente explica a queda de 176 e 210.</t>
        </is>
      </c>
    </row>
    <row r="4" ht="30" customHeight="1">
      <c r="A4" s="8" t="inlineStr">
        <is>
          <t>ID amostra</t>
        </is>
      </c>
      <c r="B4" s="8" t="inlineStr">
        <is>
          <t>Nº de travas</t>
        </is>
      </c>
      <c r="C4" s="8" t="inlineStr">
        <is>
          <t>Posição das travas</t>
        </is>
      </c>
      <c r="D4" s="8" t="inlineStr">
        <is>
          <t>Curso livre (mm)</t>
        </is>
      </c>
      <c r="E4" s="8" t="inlineStr">
        <is>
          <t>Perfil colado (mm)</t>
        </is>
      </c>
      <c r="F4" s="8" t="inlineStr">
        <is>
          <t>Força FECHAR (N)</t>
        </is>
      </c>
      <c r="G4" s="8" t="inlineStr">
        <is>
          <t>Força ABRIR (N)</t>
        </is>
      </c>
      <c r="H4" s="8" t="inlineStr">
        <is>
          <t>Δ abrir vs. sem perfil</t>
        </is>
      </c>
      <c r="I4" s="8" t="inlineStr">
        <is>
          <t>Trava deformou?</t>
        </is>
      </c>
      <c r="J4" s="8" t="inlineStr">
        <is>
          <t>Observação</t>
        </is>
      </c>
    </row>
    <row r="5">
      <c r="A5" s="20" t="inlineStr">
        <is>
          <t>151.012.001 — Alto 4,3 L</t>
        </is>
      </c>
    </row>
    <row r="6">
      <c r="A6" s="10" t="inlineStr">
        <is>
          <t>151-01</t>
        </is>
      </c>
      <c r="B6" s="12" t="n"/>
      <c r="C6" s="12" t="n"/>
      <c r="D6" s="12" t="n"/>
      <c r="E6" s="10" t="inlineStr">
        <is>
          <t>sem perfil (0 mm)</t>
        </is>
      </c>
      <c r="F6" s="12" t="n"/>
      <c r="G6" s="12" t="n"/>
      <c r="H6" s="21" t="inlineStr">
        <is>
          <t>— referência</t>
        </is>
      </c>
      <c r="I6" s="12" t="n"/>
      <c r="J6" s="12" t="n"/>
    </row>
    <row r="7">
      <c r="A7" s="10" t="inlineStr">
        <is>
          <t>151-01</t>
        </is>
      </c>
      <c r="B7" s="12" t="n"/>
      <c r="C7" s="12" t="n"/>
      <c r="D7" s="12" t="n"/>
      <c r="E7" s="10" t="inlineStr">
        <is>
          <t>perfil 1,0 mm</t>
        </is>
      </c>
      <c r="F7" s="12" t="n"/>
      <c r="G7" s="12" t="n"/>
      <c r="H7" s="22">
        <f>IF(OR(G7="",G6=""),"",G7-G6)</f>
        <v/>
      </c>
      <c r="I7" s="12" t="n"/>
      <c r="J7" s="12" t="n"/>
    </row>
    <row r="8">
      <c r="A8" s="10" t="inlineStr">
        <is>
          <t>151-01</t>
        </is>
      </c>
      <c r="B8" s="12" t="n"/>
      <c r="C8" s="12" t="n"/>
      <c r="D8" s="12" t="n"/>
      <c r="E8" s="10" t="inlineStr">
        <is>
          <t>perfil 1,5 mm</t>
        </is>
      </c>
      <c r="F8" s="12" t="n"/>
      <c r="G8" s="12" t="n"/>
      <c r="H8" s="22">
        <f>IF(OR(G8="",G6=""),"",G8-G6)</f>
        <v/>
      </c>
      <c r="I8" s="12" t="n"/>
      <c r="J8" s="12" t="n"/>
    </row>
    <row r="9">
      <c r="A9" s="10" t="inlineStr">
        <is>
          <t>151-01</t>
        </is>
      </c>
      <c r="B9" s="12" t="n"/>
      <c r="C9" s="12" t="n"/>
      <c r="D9" s="12" t="n"/>
      <c r="E9" s="10" t="inlineStr">
        <is>
          <t>perfil 2,0 mm</t>
        </is>
      </c>
      <c r="F9" s="12" t="n"/>
      <c r="G9" s="12" t="n"/>
      <c r="H9" s="22">
        <f>IF(OR(G9="",G6=""),"",G9-G6)</f>
        <v/>
      </c>
      <c r="I9" s="12" t="n"/>
      <c r="J9" s="12" t="n"/>
    </row>
    <row r="11">
      <c r="A11" s="20" t="inlineStr">
        <is>
          <t>154.012.001 — Alto 460 ml</t>
        </is>
      </c>
    </row>
    <row r="12">
      <c r="A12" s="10" t="inlineStr">
        <is>
          <t>154-01</t>
        </is>
      </c>
      <c r="B12" s="12" t="n"/>
      <c r="C12" s="12" t="n"/>
      <c r="D12" s="12" t="n"/>
      <c r="E12" s="10" t="inlineStr">
        <is>
          <t>sem perfil (0 mm)</t>
        </is>
      </c>
      <c r="F12" s="12" t="n"/>
      <c r="G12" s="12" t="n"/>
      <c r="H12" s="21" t="inlineStr">
        <is>
          <t>— referência</t>
        </is>
      </c>
      <c r="I12" s="12" t="n"/>
      <c r="J12" s="12" t="n"/>
    </row>
    <row r="13">
      <c r="A13" s="10" t="inlineStr">
        <is>
          <t>154-01</t>
        </is>
      </c>
      <c r="B13" s="12" t="n"/>
      <c r="C13" s="12" t="n"/>
      <c r="D13" s="12" t="n"/>
      <c r="E13" s="10" t="inlineStr">
        <is>
          <t>perfil 1,0 mm</t>
        </is>
      </c>
      <c r="F13" s="12" t="n"/>
      <c r="G13" s="12" t="n"/>
      <c r="H13" s="22">
        <f>IF(OR(G13="",G12=""),"",G13-G12)</f>
        <v/>
      </c>
      <c r="I13" s="12" t="n"/>
      <c r="J13" s="12" t="n"/>
    </row>
    <row r="14">
      <c r="A14" s="10" t="inlineStr">
        <is>
          <t>154-01</t>
        </is>
      </c>
      <c r="B14" s="12" t="n"/>
      <c r="C14" s="12" t="n"/>
      <c r="D14" s="12" t="n"/>
      <c r="E14" s="10" t="inlineStr">
        <is>
          <t>perfil 1,5 mm</t>
        </is>
      </c>
      <c r="F14" s="12" t="n"/>
      <c r="G14" s="12" t="n"/>
      <c r="H14" s="22">
        <f>IF(OR(G14="",G12=""),"",G14-G12)</f>
        <v/>
      </c>
      <c r="I14" s="12" t="n"/>
      <c r="J14" s="12" t="n"/>
    </row>
    <row r="15">
      <c r="A15" s="10" t="inlineStr">
        <is>
          <t>154-01</t>
        </is>
      </c>
      <c r="B15" s="12" t="n"/>
      <c r="C15" s="12" t="n"/>
      <c r="D15" s="12" t="n"/>
      <c r="E15" s="10" t="inlineStr">
        <is>
          <t>perfil 2,0 mm</t>
        </is>
      </c>
      <c r="F15" s="12" t="n"/>
      <c r="G15" s="12" t="n"/>
      <c r="H15" s="22">
        <f>IF(OR(G15="",G12=""),"",G15-G12)</f>
        <v/>
      </c>
      <c r="I15" s="12" t="n"/>
      <c r="J15" s="12" t="n"/>
    </row>
    <row r="17">
      <c r="A17" s="20" t="inlineStr">
        <is>
          <t>155.012.001 — Alto 850 ml</t>
        </is>
      </c>
    </row>
    <row r="18">
      <c r="A18" s="10" t="inlineStr">
        <is>
          <t>155-01</t>
        </is>
      </c>
      <c r="B18" s="12" t="n"/>
      <c r="C18" s="12" t="n"/>
      <c r="D18" s="12" t="n"/>
      <c r="E18" s="10" t="inlineStr">
        <is>
          <t>sem perfil (0 mm)</t>
        </is>
      </c>
      <c r="F18" s="12" t="n"/>
      <c r="G18" s="12" t="n"/>
      <c r="H18" s="21" t="inlineStr">
        <is>
          <t>— referência</t>
        </is>
      </c>
      <c r="I18" s="12" t="n"/>
      <c r="J18" s="12" t="n"/>
    </row>
    <row r="19">
      <c r="A19" s="10" t="inlineStr">
        <is>
          <t>155-01</t>
        </is>
      </c>
      <c r="B19" s="12" t="n"/>
      <c r="C19" s="12" t="n"/>
      <c r="D19" s="12" t="n"/>
      <c r="E19" s="10" t="inlineStr">
        <is>
          <t>perfil 1,0 mm</t>
        </is>
      </c>
      <c r="F19" s="12" t="n"/>
      <c r="G19" s="12" t="n"/>
      <c r="H19" s="22">
        <f>IF(OR(G19="",G18=""),"",G19-G18)</f>
        <v/>
      </c>
      <c r="I19" s="12" t="n"/>
      <c r="J19" s="12" t="n"/>
    </row>
    <row r="20">
      <c r="A20" s="10" t="inlineStr">
        <is>
          <t>155-01</t>
        </is>
      </c>
      <c r="B20" s="12" t="n"/>
      <c r="C20" s="12" t="n"/>
      <c r="D20" s="12" t="n"/>
      <c r="E20" s="10" t="inlineStr">
        <is>
          <t>perfil 1,5 mm</t>
        </is>
      </c>
      <c r="F20" s="12" t="n"/>
      <c r="G20" s="12" t="n"/>
      <c r="H20" s="22">
        <f>IF(OR(G20="",G18=""),"",G20-G18)</f>
        <v/>
      </c>
      <c r="I20" s="12" t="n"/>
      <c r="J20" s="12" t="n"/>
    </row>
    <row r="21">
      <c r="A21" s="10" t="inlineStr">
        <is>
          <t>155-01</t>
        </is>
      </c>
      <c r="B21" s="12" t="n"/>
      <c r="C21" s="12" t="n"/>
      <c r="D21" s="12" t="n"/>
      <c r="E21" s="10" t="inlineStr">
        <is>
          <t>perfil 2,0 mm</t>
        </is>
      </c>
      <c r="F21" s="12" t="n"/>
      <c r="G21" s="12" t="n"/>
      <c r="H21" s="22">
        <f>IF(OR(G21="",G18=""),"",G21-G18)</f>
        <v/>
      </c>
      <c r="I21" s="12" t="n"/>
      <c r="J21" s="12" t="n"/>
    </row>
    <row r="23">
      <c r="A23" s="20" t="inlineStr">
        <is>
          <t>156.012.001 — Alto 2,2 L</t>
        </is>
      </c>
    </row>
    <row r="24">
      <c r="A24" s="10" t="inlineStr">
        <is>
          <t>156-01</t>
        </is>
      </c>
      <c r="B24" s="12" t="n"/>
      <c r="C24" s="12" t="n"/>
      <c r="D24" s="12" t="n"/>
      <c r="E24" s="10" t="inlineStr">
        <is>
          <t>sem perfil (0 mm)</t>
        </is>
      </c>
      <c r="F24" s="12" t="n"/>
      <c r="G24" s="12" t="n"/>
      <c r="H24" s="21" t="inlineStr">
        <is>
          <t>— referência</t>
        </is>
      </c>
      <c r="I24" s="12" t="n"/>
      <c r="J24" s="12" t="n"/>
    </row>
    <row r="25">
      <c r="A25" s="10" t="inlineStr">
        <is>
          <t>156-01</t>
        </is>
      </c>
      <c r="B25" s="12" t="n"/>
      <c r="C25" s="12" t="n"/>
      <c r="D25" s="12" t="n"/>
      <c r="E25" s="10" t="inlineStr">
        <is>
          <t>perfil 1,0 mm</t>
        </is>
      </c>
      <c r="F25" s="12" t="n"/>
      <c r="G25" s="12" t="n"/>
      <c r="H25" s="22">
        <f>IF(OR(G25="",G24=""),"",G25-G24)</f>
        <v/>
      </c>
      <c r="I25" s="12" t="n"/>
      <c r="J25" s="12" t="n"/>
    </row>
    <row r="26">
      <c r="A26" s="10" t="inlineStr">
        <is>
          <t>156-01</t>
        </is>
      </c>
      <c r="B26" s="12" t="n"/>
      <c r="C26" s="12" t="n"/>
      <c r="D26" s="12" t="n"/>
      <c r="E26" s="10" t="inlineStr">
        <is>
          <t>perfil 1,5 mm</t>
        </is>
      </c>
      <c r="F26" s="12" t="n"/>
      <c r="G26" s="12" t="n"/>
      <c r="H26" s="22">
        <f>IF(OR(G26="",G24=""),"",G26-G24)</f>
        <v/>
      </c>
      <c r="I26" s="12" t="n"/>
      <c r="J26" s="12" t="n"/>
    </row>
    <row r="27">
      <c r="A27" s="10" t="inlineStr">
        <is>
          <t>156-01</t>
        </is>
      </c>
      <c r="B27" s="12" t="n"/>
      <c r="C27" s="12" t="n"/>
      <c r="D27" s="12" t="n"/>
      <c r="E27" s="10" t="inlineStr">
        <is>
          <t>perfil 2,0 mm</t>
        </is>
      </c>
      <c r="F27" s="12" t="n"/>
      <c r="G27" s="12" t="n"/>
      <c r="H27" s="22">
        <f>IF(OR(G27="",G24=""),"",G27-G24)</f>
        <v/>
      </c>
      <c r="I27" s="12" t="n"/>
      <c r="J27" s="12" t="n"/>
    </row>
    <row r="30">
      <c r="A30" s="5" t="inlineStr">
        <is>
          <t>LEITURA</t>
        </is>
      </c>
    </row>
    <row r="31">
      <c r="A31" s="3" t="inlineStr">
        <is>
          <t>O concorrente que veda bem (Plasútil porta-frios) tem 32,3% das suas avaliações negativas sobre "abrir duro" e "trava quebrou".</t>
        </is>
      </c>
    </row>
    <row r="32">
      <c r="A32" s="3" t="inlineStr">
        <is>
          <t>Se a coluna H subir de forma relevante já em 1,0 mm, a rota da gaxeta empurra o produto para esse modo de falha.</t>
        </is>
      </c>
    </row>
    <row r="33">
      <c r="A33" s="3" t="inlineStr">
        <is>
          <t>Anotar em Observação qualquer estalo, empenamento da tampa ou folga no meio do vão entre travas.</t>
        </is>
      </c>
    </row>
  </sheetData>
  <mergeCells count="6">
    <mergeCell ref="A1:J1"/>
    <mergeCell ref="A5:J5"/>
    <mergeCell ref="A23:J23"/>
    <mergeCell ref="A17:J17"/>
    <mergeCell ref="A2:J2"/>
    <mergeCell ref="A11:J11"/>
  </mergeCells>
  <dataValidations count="1">
    <dataValidation sqref="I6 I7 I8 I9 I12 I13 I14 I15 I18 I19 I20 I21 I24 I25 I26 I27" showDropDown="0" showInputMessage="0" showErrorMessage="0" allowBlank="1" type="list">
      <formula1>"NÃO,SIM"</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14" customWidth="1" min="1" max="1"/>
    <col width="15" customWidth="1" min="2" max="2"/>
    <col width="17" customWidth="1" min="3" max="3"/>
    <col width="17" customWidth="1" min="4" max="4"/>
    <col width="17" customWidth="1" min="5" max="5"/>
    <col width="14" customWidth="1" min="6" max="6"/>
    <col width="30" customWidth="1" min="7" max="7"/>
  </cols>
  <sheetData>
    <row r="1" ht="26" customHeight="1">
      <c r="A1" s="1" t="inlineStr">
        <is>
          <t>ENSAIOS 3, 4 e 5 — CICLAGEM, LAVA-LOUÇAS E FLUÊNCIA</t>
        </is>
      </c>
    </row>
    <row r="2" ht="15" customHeight="1">
      <c r="A2" s="2" t="inlineStr">
        <is>
          <t>Rodar somente depois de E1 concluído. Cada ensaio termina repetindo o E1 na mesma amostra.</t>
        </is>
      </c>
    </row>
    <row r="4">
      <c r="A4" s="23" t="inlineStr">
        <is>
          <t>ENSAIO 3 — 200 ciclos de abre-fecha  ·  APROVA se mantém aprovação no E1</t>
        </is>
      </c>
    </row>
    <row r="5" ht="30" customHeight="1">
      <c r="A5" s="8" t="inlineStr">
        <is>
          <t>ID amostra</t>
        </is>
      </c>
      <c r="B5" s="8" t="inlineStr">
        <is>
          <t>Ciclos concluídos</t>
        </is>
      </c>
      <c r="C5" s="8" t="inlineStr">
        <is>
          <t>Trava íntegra?</t>
        </is>
      </c>
      <c r="D5" s="8" t="inlineStr">
        <is>
          <t>Reteste E1: papel</t>
        </is>
      </c>
      <c r="E5" s="8" t="inlineStr">
        <is>
          <t>Reteste E1: perda (g)</t>
        </is>
      </c>
      <c r="F5" s="8" t="inlineStr">
        <is>
          <t>VEREDITO</t>
        </is>
      </c>
      <c r="G5" s="8" t="inlineStr">
        <is>
          <t>Observação</t>
        </is>
      </c>
    </row>
    <row r="6">
      <c r="A6" s="9" t="inlineStr">
        <is>
          <t>151-01</t>
        </is>
      </c>
      <c r="B6" s="12" t="n"/>
      <c r="C6" s="12" t="n"/>
      <c r="D6" s="12" t="n"/>
      <c r="E6" s="12" t="n"/>
      <c r="F6" s="15">
        <f>IF(OR(B6="",E6=""),"",IF(AND(B6&gt;=200,C6="SIM",D6="LIMPO",E6&lt;0.1),"APROVADO","REPROVADO"))</f>
        <v/>
      </c>
      <c r="G6" s="12" t="n"/>
    </row>
    <row r="7">
      <c r="A7" s="9" t="inlineStr">
        <is>
          <t>151-02</t>
        </is>
      </c>
      <c r="B7" s="12" t="n"/>
      <c r="C7" s="12" t="n"/>
      <c r="D7" s="12" t="n"/>
      <c r="E7" s="12" t="n"/>
      <c r="F7" s="15">
        <f>IF(OR(B7="",E7=""),"",IF(AND(B7&gt;=200,C7="SIM",D7="LIMPO",E7&lt;0.1),"APROVADO","REPROVADO"))</f>
        <v/>
      </c>
      <c r="G7" s="12" t="n"/>
    </row>
    <row r="8">
      <c r="A8" s="9" t="inlineStr">
        <is>
          <t>151-03</t>
        </is>
      </c>
      <c r="B8" s="12" t="n"/>
      <c r="C8" s="12" t="n"/>
      <c r="D8" s="12" t="n"/>
      <c r="E8" s="12" t="n"/>
      <c r="F8" s="15">
        <f>IF(OR(B8="",E8=""),"",IF(AND(B8&gt;=200,C8="SIM",D8="LIMPO",E8&lt;0.1),"APROVADO","REPROVADO"))</f>
        <v/>
      </c>
      <c r="G8" s="12" t="n"/>
    </row>
    <row r="9">
      <c r="A9" s="9" t="inlineStr">
        <is>
          <t>154-01</t>
        </is>
      </c>
      <c r="B9" s="12" t="n"/>
      <c r="C9" s="12" t="n"/>
      <c r="D9" s="12" t="n"/>
      <c r="E9" s="12" t="n"/>
      <c r="F9" s="15">
        <f>IF(OR(B9="",E9=""),"",IF(AND(B9&gt;=200,C9="SIM",D9="LIMPO",E9&lt;0.1),"APROVADO","REPROVADO"))</f>
        <v/>
      </c>
      <c r="G9" s="12" t="n"/>
    </row>
    <row r="10">
      <c r="A10" s="9" t="inlineStr">
        <is>
          <t>154-02</t>
        </is>
      </c>
      <c r="B10" s="12" t="n"/>
      <c r="C10" s="12" t="n"/>
      <c r="D10" s="12" t="n"/>
      <c r="E10" s="12" t="n"/>
      <c r="F10" s="15">
        <f>IF(OR(B10="",E10=""),"",IF(AND(B10&gt;=200,C10="SIM",D10="LIMPO",E10&lt;0.1),"APROVADO","REPROVADO"))</f>
        <v/>
      </c>
      <c r="G10" s="12" t="n"/>
    </row>
    <row r="11">
      <c r="A11" s="9" t="inlineStr">
        <is>
          <t>154-03</t>
        </is>
      </c>
      <c r="B11" s="12" t="n"/>
      <c r="C11" s="12" t="n"/>
      <c r="D11" s="12" t="n"/>
      <c r="E11" s="12" t="n"/>
      <c r="F11" s="15">
        <f>IF(OR(B11="",E11=""),"",IF(AND(B11&gt;=200,C11="SIM",D11="LIMPO",E11&lt;0.1),"APROVADO","REPROVADO"))</f>
        <v/>
      </c>
      <c r="G11" s="12" t="n"/>
    </row>
    <row r="12">
      <c r="A12" s="9" t="inlineStr">
        <is>
          <t>155-01</t>
        </is>
      </c>
      <c r="B12" s="12" t="n"/>
      <c r="C12" s="12" t="n"/>
      <c r="D12" s="12" t="n"/>
      <c r="E12" s="12" t="n"/>
      <c r="F12" s="15">
        <f>IF(OR(B12="",E12=""),"",IF(AND(B12&gt;=200,C12="SIM",D12="LIMPO",E12&lt;0.1),"APROVADO","REPROVADO"))</f>
        <v/>
      </c>
      <c r="G12" s="12" t="n"/>
    </row>
    <row r="13">
      <c r="A13" s="9" t="inlineStr">
        <is>
          <t>155-02</t>
        </is>
      </c>
      <c r="B13" s="12" t="n"/>
      <c r="C13" s="12" t="n"/>
      <c r="D13" s="12" t="n"/>
      <c r="E13" s="12" t="n"/>
      <c r="F13" s="15">
        <f>IF(OR(B13="",E13=""),"",IF(AND(B13&gt;=200,C13="SIM",D13="LIMPO",E13&lt;0.1),"APROVADO","REPROVADO"))</f>
        <v/>
      </c>
      <c r="G13" s="12" t="n"/>
    </row>
    <row r="14">
      <c r="A14" s="9" t="inlineStr">
        <is>
          <t>155-03</t>
        </is>
      </c>
      <c r="B14" s="12" t="n"/>
      <c r="C14" s="12" t="n"/>
      <c r="D14" s="12" t="n"/>
      <c r="E14" s="12" t="n"/>
      <c r="F14" s="15">
        <f>IF(OR(B14="",E14=""),"",IF(AND(B14&gt;=200,C14="SIM",D14="LIMPO",E14&lt;0.1),"APROVADO","REPROVADO"))</f>
        <v/>
      </c>
      <c r="G14" s="12" t="n"/>
    </row>
    <row r="15">
      <c r="A15" s="9" t="inlineStr">
        <is>
          <t>156-01</t>
        </is>
      </c>
      <c r="B15" s="12" t="n"/>
      <c r="C15" s="12" t="n"/>
      <c r="D15" s="12" t="n"/>
      <c r="E15" s="12" t="n"/>
      <c r="F15" s="15">
        <f>IF(OR(B15="",E15=""),"",IF(AND(B15&gt;=200,C15="SIM",D15="LIMPO",E15&lt;0.1),"APROVADO","REPROVADO"))</f>
        <v/>
      </c>
      <c r="G15" s="12" t="n"/>
    </row>
    <row r="16">
      <c r="A16" s="9" t="inlineStr">
        <is>
          <t>156-02</t>
        </is>
      </c>
      <c r="B16" s="12" t="n"/>
      <c r="C16" s="12" t="n"/>
      <c r="D16" s="12" t="n"/>
      <c r="E16" s="12" t="n"/>
      <c r="F16" s="15">
        <f>IF(OR(B16="",E16=""),"",IF(AND(B16&gt;=200,C16="SIM",D16="LIMPO",E16&lt;0.1),"APROVADO","REPROVADO"))</f>
        <v/>
      </c>
      <c r="G16" s="12" t="n"/>
    </row>
    <row r="17">
      <c r="A17" s="9" t="inlineStr">
        <is>
          <t>156-03</t>
        </is>
      </c>
      <c r="B17" s="12" t="n"/>
      <c r="C17" s="12" t="n"/>
      <c r="D17" s="12" t="n"/>
      <c r="E17" s="12" t="n"/>
      <c r="F17" s="15">
        <f>IF(OR(B17="",E17=""),"",IF(AND(B17&gt;=200,C17="SIM",D17="LIMPO",E17&lt;0.1),"APROVADO","REPROVADO"))</f>
        <v/>
      </c>
      <c r="G17" s="12" t="n"/>
    </row>
    <row r="20">
      <c r="A20" s="23" t="inlineStr">
        <is>
          <t>ENSAIO 4 — 20 ciclos de lava-louças 60–65 °C  ·  APROVA se mantém E1 e sem deformação</t>
        </is>
      </c>
    </row>
    <row r="21" ht="30" customHeight="1">
      <c r="A21" s="8" t="inlineStr">
        <is>
          <t>ID amostra</t>
        </is>
      </c>
      <c r="B21" s="8" t="inlineStr">
        <is>
          <t>Ciclos concluídos</t>
        </is>
      </c>
      <c r="C21" s="8" t="inlineStr">
        <is>
          <t>Deformou?</t>
        </is>
      </c>
      <c r="D21" s="8" t="inlineStr">
        <is>
          <t>Manchou / pegajoso?</t>
        </is>
      </c>
      <c r="E21" s="8" t="inlineStr">
        <is>
          <t>Reteste E1: perda (g)</t>
        </is>
      </c>
      <c r="F21" s="8" t="inlineStr">
        <is>
          <t>VEREDITO</t>
        </is>
      </c>
      <c r="G21" s="8" t="inlineStr">
        <is>
          <t>Observação</t>
        </is>
      </c>
    </row>
    <row r="22">
      <c r="A22" s="9" t="inlineStr">
        <is>
          <t>151-01</t>
        </is>
      </c>
      <c r="B22" s="12" t="n"/>
      <c r="C22" s="12" t="n"/>
      <c r="D22" s="12" t="n"/>
      <c r="E22" s="12" t="n"/>
      <c r="F22" s="15">
        <f>IF(OR(B22="",E22=""),"",IF(AND(B22&gt;=20,C22="NÃO",D22="NÃO",E22&lt;0.1),"APROVADO","REPROVADO"))</f>
        <v/>
      </c>
      <c r="G22" s="12" t="n"/>
    </row>
    <row r="23">
      <c r="A23" s="9" t="inlineStr">
        <is>
          <t>151-02</t>
        </is>
      </c>
      <c r="B23" s="12" t="n"/>
      <c r="C23" s="12" t="n"/>
      <c r="D23" s="12" t="n"/>
      <c r="E23" s="12" t="n"/>
      <c r="F23" s="15">
        <f>IF(OR(B23="",E23=""),"",IF(AND(B23&gt;=20,C23="NÃO",D23="NÃO",E23&lt;0.1),"APROVADO","REPROVADO"))</f>
        <v/>
      </c>
      <c r="G23" s="12" t="n"/>
    </row>
    <row r="24">
      <c r="A24" s="9" t="inlineStr">
        <is>
          <t>151-03</t>
        </is>
      </c>
      <c r="B24" s="12" t="n"/>
      <c r="C24" s="12" t="n"/>
      <c r="D24" s="12" t="n"/>
      <c r="E24" s="12" t="n"/>
      <c r="F24" s="15">
        <f>IF(OR(B24="",E24=""),"",IF(AND(B24&gt;=20,C24="NÃO",D24="NÃO",E24&lt;0.1),"APROVADO","REPROVADO"))</f>
        <v/>
      </c>
      <c r="G24" s="12" t="n"/>
    </row>
    <row r="25">
      <c r="A25" s="9" t="inlineStr">
        <is>
          <t>154-01</t>
        </is>
      </c>
      <c r="B25" s="12" t="n"/>
      <c r="C25" s="12" t="n"/>
      <c r="D25" s="12" t="n"/>
      <c r="E25" s="12" t="n"/>
      <c r="F25" s="15">
        <f>IF(OR(B25="",E25=""),"",IF(AND(B25&gt;=20,C25="NÃO",D25="NÃO",E25&lt;0.1),"APROVADO","REPROVADO"))</f>
        <v/>
      </c>
      <c r="G25" s="12" t="n"/>
    </row>
    <row r="26">
      <c r="A26" s="9" t="inlineStr">
        <is>
          <t>154-02</t>
        </is>
      </c>
      <c r="B26" s="12" t="n"/>
      <c r="C26" s="12" t="n"/>
      <c r="D26" s="12" t="n"/>
      <c r="E26" s="12" t="n"/>
      <c r="F26" s="15">
        <f>IF(OR(B26="",E26=""),"",IF(AND(B26&gt;=20,C26="NÃO",D26="NÃO",E26&lt;0.1),"APROVADO","REPROVADO"))</f>
        <v/>
      </c>
      <c r="G26" s="12" t="n"/>
    </row>
    <row r="27">
      <c r="A27" s="9" t="inlineStr">
        <is>
          <t>154-03</t>
        </is>
      </c>
      <c r="B27" s="12" t="n"/>
      <c r="C27" s="12" t="n"/>
      <c r="D27" s="12" t="n"/>
      <c r="E27" s="12" t="n"/>
      <c r="F27" s="15">
        <f>IF(OR(B27="",E27=""),"",IF(AND(B27&gt;=20,C27="NÃO",D27="NÃO",E27&lt;0.1),"APROVADO","REPROVADO"))</f>
        <v/>
      </c>
      <c r="G27" s="12" t="n"/>
    </row>
    <row r="28">
      <c r="A28" s="9" t="inlineStr">
        <is>
          <t>155-01</t>
        </is>
      </c>
      <c r="B28" s="12" t="n"/>
      <c r="C28" s="12" t="n"/>
      <c r="D28" s="12" t="n"/>
      <c r="E28" s="12" t="n"/>
      <c r="F28" s="15">
        <f>IF(OR(B28="",E28=""),"",IF(AND(B28&gt;=20,C28="NÃO",D28="NÃO",E28&lt;0.1),"APROVADO","REPROVADO"))</f>
        <v/>
      </c>
      <c r="G28" s="12" t="n"/>
    </row>
    <row r="29">
      <c r="A29" s="9" t="inlineStr">
        <is>
          <t>155-02</t>
        </is>
      </c>
      <c r="B29" s="12" t="n"/>
      <c r="C29" s="12" t="n"/>
      <c r="D29" s="12" t="n"/>
      <c r="E29" s="12" t="n"/>
      <c r="F29" s="15">
        <f>IF(OR(B29="",E29=""),"",IF(AND(B29&gt;=20,C29="NÃO",D29="NÃO",E29&lt;0.1),"APROVADO","REPROVADO"))</f>
        <v/>
      </c>
      <c r="G29" s="12" t="n"/>
    </row>
    <row r="30">
      <c r="A30" s="9" t="inlineStr">
        <is>
          <t>155-03</t>
        </is>
      </c>
      <c r="B30" s="12" t="n"/>
      <c r="C30" s="12" t="n"/>
      <c r="D30" s="12" t="n"/>
      <c r="E30" s="12" t="n"/>
      <c r="F30" s="15">
        <f>IF(OR(B30="",E30=""),"",IF(AND(B30&gt;=20,C30="NÃO",D30="NÃO",E30&lt;0.1),"APROVADO","REPROVADO"))</f>
        <v/>
      </c>
      <c r="G30" s="12" t="n"/>
    </row>
    <row r="31">
      <c r="A31" s="9" t="inlineStr">
        <is>
          <t>156-01</t>
        </is>
      </c>
      <c r="B31" s="12" t="n"/>
      <c r="C31" s="12" t="n"/>
      <c r="D31" s="12" t="n"/>
      <c r="E31" s="12" t="n"/>
      <c r="F31" s="15">
        <f>IF(OR(B31="",E31=""),"",IF(AND(B31&gt;=20,C31="NÃO",D31="NÃO",E31&lt;0.1),"APROVADO","REPROVADO"))</f>
        <v/>
      </c>
      <c r="G31" s="12" t="n"/>
    </row>
    <row r="32">
      <c r="A32" s="9" t="inlineStr">
        <is>
          <t>156-02</t>
        </is>
      </c>
      <c r="B32" s="12" t="n"/>
      <c r="C32" s="12" t="n"/>
      <c r="D32" s="12" t="n"/>
      <c r="E32" s="12" t="n"/>
      <c r="F32" s="15">
        <f>IF(OR(B32="",E32=""),"",IF(AND(B32&gt;=20,C32="NÃO",D32="NÃO",E32&lt;0.1),"APROVADO","REPROVADO"))</f>
        <v/>
      </c>
      <c r="G32" s="12" t="n"/>
    </row>
    <row r="33">
      <c r="A33" s="9" t="inlineStr">
        <is>
          <t>156-03</t>
        </is>
      </c>
      <c r="B33" s="12" t="n"/>
      <c r="C33" s="12" t="n"/>
      <c r="D33" s="12" t="n"/>
      <c r="E33" s="12" t="n"/>
      <c r="F33" s="15">
        <f>IF(OR(B33="",E33=""),"",IF(AND(B33&gt;=20,C33="NÃO",D33="NÃO",E33&lt;0.1),"APROVADO","REPROVADO"))</f>
        <v/>
      </c>
      <c r="G33" s="12" t="n"/>
    </row>
    <row r="36">
      <c r="A36" s="23" t="inlineStr">
        <is>
          <t>ENSAIO 5 — 30 dias fechado sob trava, 40 °C, cheio  ·  APROVA se mantém E1 e força de abrir estável</t>
        </is>
      </c>
    </row>
    <row r="37" ht="30" customHeight="1">
      <c r="A37" s="8" t="inlineStr">
        <is>
          <t>ID amostra</t>
        </is>
      </c>
      <c r="B37" s="8" t="inlineStr">
        <is>
          <t>Dias concluídos</t>
        </is>
      </c>
      <c r="C37" s="8" t="inlineStr">
        <is>
          <t>Força abrir dia 0 (N)</t>
        </is>
      </c>
      <c r="D37" s="8" t="inlineStr">
        <is>
          <t>Força abrir dia 30 (N)</t>
        </is>
      </c>
      <c r="E37" s="8" t="inlineStr">
        <is>
          <t>Reteste E1: perda (g)</t>
        </is>
      </c>
      <c r="F37" s="8" t="inlineStr">
        <is>
          <t>VEREDITO</t>
        </is>
      </c>
      <c r="G37" s="8" t="inlineStr">
        <is>
          <t>Observação</t>
        </is>
      </c>
    </row>
    <row r="38">
      <c r="A38" s="9" t="inlineStr">
        <is>
          <t>151-01</t>
        </is>
      </c>
      <c r="B38" s="12" t="n"/>
      <c r="C38" s="12" t="n"/>
      <c r="D38" s="12" t="n"/>
      <c r="E38" s="12" t="n"/>
      <c r="F38" s="15">
        <f>IF(OR(B38="",E38="",D38=""),"",IF(AND(B38&gt;=30,E38&lt;0.1,D38&lt;=C38*1.25),"APROVADO","REPROVADO"))</f>
        <v/>
      </c>
      <c r="G38" s="12" t="n"/>
    </row>
    <row r="39">
      <c r="A39" s="9" t="inlineStr">
        <is>
          <t>151-02</t>
        </is>
      </c>
      <c r="B39" s="12" t="n"/>
      <c r="C39" s="12" t="n"/>
      <c r="D39" s="12" t="n"/>
      <c r="E39" s="12" t="n"/>
      <c r="F39" s="15">
        <f>IF(OR(B39="",E39="",D39=""),"",IF(AND(B39&gt;=30,E39&lt;0.1,D39&lt;=C39*1.25),"APROVADO","REPROVADO"))</f>
        <v/>
      </c>
      <c r="G39" s="12" t="n"/>
    </row>
    <row r="40">
      <c r="A40" s="9" t="inlineStr">
        <is>
          <t>154-01</t>
        </is>
      </c>
      <c r="B40" s="12" t="n"/>
      <c r="C40" s="12" t="n"/>
      <c r="D40" s="12" t="n"/>
      <c r="E40" s="12" t="n"/>
      <c r="F40" s="15">
        <f>IF(OR(B40="",E40="",D40=""),"",IF(AND(B40&gt;=30,E40&lt;0.1,D40&lt;=C40*1.25),"APROVADO","REPROVADO"))</f>
        <v/>
      </c>
      <c r="G40" s="12" t="n"/>
    </row>
    <row r="41">
      <c r="A41" s="9" t="inlineStr">
        <is>
          <t>154-02</t>
        </is>
      </c>
      <c r="B41" s="12" t="n"/>
      <c r="C41" s="12" t="n"/>
      <c r="D41" s="12" t="n"/>
      <c r="E41" s="12" t="n"/>
      <c r="F41" s="15">
        <f>IF(OR(B41="",E41="",D41=""),"",IF(AND(B41&gt;=30,E41&lt;0.1,D41&lt;=C41*1.25),"APROVADO","REPROVADO"))</f>
        <v/>
      </c>
      <c r="G41" s="12" t="n"/>
    </row>
    <row r="42">
      <c r="A42" s="9" t="inlineStr">
        <is>
          <t>155-01</t>
        </is>
      </c>
      <c r="B42" s="12" t="n"/>
      <c r="C42" s="12" t="n"/>
      <c r="D42" s="12" t="n"/>
      <c r="E42" s="12" t="n"/>
      <c r="F42" s="15">
        <f>IF(OR(B42="",E42="",D42=""),"",IF(AND(B42&gt;=30,E42&lt;0.1,D42&lt;=C42*1.25),"APROVADO","REPROVADO"))</f>
        <v/>
      </c>
      <c r="G42" s="12" t="n"/>
    </row>
    <row r="43">
      <c r="A43" s="9" t="inlineStr">
        <is>
          <t>155-02</t>
        </is>
      </c>
      <c r="B43" s="12" t="n"/>
      <c r="C43" s="12" t="n"/>
      <c r="D43" s="12" t="n"/>
      <c r="E43" s="12" t="n"/>
      <c r="F43" s="15">
        <f>IF(OR(B43="",E43="",D43=""),"",IF(AND(B43&gt;=30,E43&lt;0.1,D43&lt;=C43*1.25),"APROVADO","REPROVADO"))</f>
        <v/>
      </c>
      <c r="G43" s="12" t="n"/>
    </row>
    <row r="44">
      <c r="A44" s="9" t="inlineStr">
        <is>
          <t>156-01</t>
        </is>
      </c>
      <c r="B44" s="12" t="n"/>
      <c r="C44" s="12" t="n"/>
      <c r="D44" s="12" t="n"/>
      <c r="E44" s="12" t="n"/>
      <c r="F44" s="15">
        <f>IF(OR(B44="",E44="",D44=""),"",IF(AND(B44&gt;=30,E44&lt;0.1,D44&lt;=C44*1.25),"APROVADO","REPROVADO"))</f>
        <v/>
      </c>
      <c r="G44" s="12" t="n"/>
    </row>
    <row r="45">
      <c r="A45" s="9" t="inlineStr">
        <is>
          <t>156-02</t>
        </is>
      </c>
      <c r="B45" s="12" t="n"/>
      <c r="C45" s="12" t="n"/>
      <c r="D45" s="12" t="n"/>
      <c r="E45" s="12" t="n"/>
      <c r="F45" s="15">
        <f>IF(OR(B45="",E45="",D45=""),"",IF(AND(B45&gt;=30,E45&lt;0.1,D45&lt;=C45*1.25),"APROVADO","REPROVADO"))</f>
        <v/>
      </c>
      <c r="G45" s="12" t="n"/>
    </row>
  </sheetData>
  <mergeCells count="5">
    <mergeCell ref="A36:G36"/>
    <mergeCell ref="A2:I2"/>
    <mergeCell ref="A4:G4"/>
    <mergeCell ref="A1:I1"/>
    <mergeCell ref="A20:G20"/>
  </mergeCells>
  <dataValidations count="2">
    <dataValidation sqref="C6 C7 C8 C9 C10 C11 C12 C13 C14 C15 C16 C17 C22 C23 C24 C25 C26 C27 C28 C29 C30 C31 C32 C33 D22 D23 D24 D25 D26 D27 D28 D29 D30 D31 D32 D33" showDropDown="0" showInputMessage="0" showErrorMessage="0" allowBlank="1" type="list">
      <formula1>"NÃO,SIM"</formula1>
    </dataValidation>
    <dataValidation sqref="D6 D7 D8 D9 D10 D11 D12 D13 D14 D15 D16 D17" showDropDown="0" showInputMessage="0" showErrorMessage="0" allowBlank="1" type="list">
      <formula1>"LIMPO,MANCHADO"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6" customWidth="1" min="1" max="1"/>
    <col width="16" customWidth="1" min="2" max="2"/>
    <col width="11" customWidth="1" min="3" max="3"/>
    <col width="14" customWidth="1" min="4" max="4"/>
    <col width="16" customWidth="1" min="5" max="5"/>
    <col width="22" customWidth="1" min="6" max="6"/>
    <col width="30" customWidth="1" min="7" max="7"/>
  </cols>
  <sheetData>
    <row r="1" ht="26" customHeight="1">
      <c r="A1" s="1" t="inlineStr">
        <is>
          <t>RESUMO — o que este ensaio decide</t>
        </is>
      </c>
    </row>
    <row r="2" ht="15" customHeight="1">
      <c r="A2" s="2" t="inlineStr">
        <is>
          <t>Preenche sozinho conforme as abas são completadas. Imprimir, assinar e arquivar: é este documento que o art. 36 do CDC pede que exista.</t>
        </is>
      </c>
    </row>
    <row r="4" ht="30" customHeight="1">
      <c r="A4" s="8" t="inlineStr">
        <is>
          <t>Referência</t>
        </is>
      </c>
      <c r="B4" s="8" t="inlineStr">
        <is>
          <t>Produto</t>
        </is>
      </c>
      <c r="C4" s="8" t="inlineStr">
        <is>
          <t>Etiqueta</t>
        </is>
      </c>
      <c r="D4" s="8" t="inlineStr">
        <is>
          <t>Clientes 12 M</t>
        </is>
      </c>
      <c r="E4" s="8" t="inlineStr">
        <is>
          <t>Fat. 12 M (R$)</t>
        </is>
      </c>
      <c r="F4" s="8" t="inlineStr">
        <is>
          <t>E1 aprovados / avaliados</t>
        </is>
      </c>
      <c r="G4" s="8" t="inlineStr">
        <is>
          <t>E2 — vapor</t>
        </is>
      </c>
    </row>
    <row r="5">
      <c r="A5" s="9" t="inlineStr">
        <is>
          <t>151.012.001</t>
        </is>
      </c>
      <c r="B5" s="10" t="inlineStr">
        <is>
          <t>Alto 4,3 L</t>
        </is>
      </c>
      <c r="C5" s="10" t="inlineStr">
        <is>
          <t>1535</t>
        </is>
      </c>
      <c r="D5" s="24" t="n">
        <v>562</v>
      </c>
      <c r="E5" s="25" t="n">
        <v>214920</v>
      </c>
      <c r="F5" s="15">
        <f>COUNTIFS('E1-Vazamento'!$B$5:$B$16,"ensaio",'E1-Vazamento'!$H$5:$H$16,"APROVADO")&amp;" / "&amp;(COUNTIFS('E1-Vazamento'!$B$5:$B$16,"ensaio",'E1-Vazamento'!$H$5:$H$16,"APROVADO")+COUNTIFS('E1-Vazamento'!$B$5:$B$16,"ensaio",'E1-Vazamento'!$H$5:$H$16,"REPROVADO"))</f>
        <v/>
      </c>
      <c r="G5" s="19">
        <f>'E2-Vapor 7d'!$E$24</f>
        <v/>
      </c>
    </row>
    <row r="6">
      <c r="A6" s="9" t="inlineStr">
        <is>
          <t>154.012.001</t>
        </is>
      </c>
      <c r="B6" s="10" t="inlineStr">
        <is>
          <t>Alto 460 ml</t>
        </is>
      </c>
      <c r="C6" s="10" t="inlineStr">
        <is>
          <t>1070</t>
        </is>
      </c>
      <c r="D6" s="24" t="n">
        <v>836</v>
      </c>
      <c r="E6" s="25" t="n">
        <v>103568</v>
      </c>
      <c r="F6" s="15">
        <f>COUNTIFS('E1-Vazamento'!$B$17:$B$28,"ensaio",'E1-Vazamento'!$H$17:$H$28,"APROVADO")&amp;" / "&amp;(COUNTIFS('E1-Vazamento'!$B$17:$B$28,"ensaio",'E1-Vazamento'!$H$17:$H$28,"APROVADO")+COUNTIFS('E1-Vazamento'!$B$17:$B$28,"ensaio",'E1-Vazamento'!$H$17:$H$28,"REPROVADO"))</f>
        <v/>
      </c>
      <c r="G6" s="19">
        <f>'E2-Vapor 7d'!$E$25</f>
        <v/>
      </c>
    </row>
    <row r="7">
      <c r="A7" s="9" t="inlineStr">
        <is>
          <t>155.012.001</t>
        </is>
      </c>
      <c r="B7" s="10" t="inlineStr">
        <is>
          <t>Alto 850 ml</t>
        </is>
      </c>
      <c r="C7" s="10" t="inlineStr">
        <is>
          <t>1069</t>
        </is>
      </c>
      <c r="D7" s="24" t="n">
        <v>971</v>
      </c>
      <c r="E7" s="25" t="n">
        <v>227505</v>
      </c>
      <c r="F7" s="15">
        <f>COUNTIFS('E1-Vazamento'!$B$29:$B$40,"ensaio",'E1-Vazamento'!$H$29:$H$40,"APROVADO")&amp;" / "&amp;(COUNTIFS('E1-Vazamento'!$B$29:$B$40,"ensaio",'E1-Vazamento'!$H$29:$H$40,"APROVADO")+COUNTIFS('E1-Vazamento'!$B$29:$B$40,"ensaio",'E1-Vazamento'!$H$29:$H$40,"REPROVADO"))</f>
        <v/>
      </c>
      <c r="G7" s="19">
        <f>'E2-Vapor 7d'!$E$26</f>
        <v/>
      </c>
    </row>
    <row r="8">
      <c r="A8" s="9" t="inlineStr">
        <is>
          <t>156.012.001</t>
        </is>
      </c>
      <c r="B8" s="10" t="inlineStr">
        <is>
          <t>Alto 2,2 L</t>
        </is>
      </c>
      <c r="C8" s="10" t="inlineStr">
        <is>
          <t>1068</t>
        </is>
      </c>
      <c r="D8" s="24" t="n">
        <v>951</v>
      </c>
      <c r="E8" s="25" t="n">
        <v>276635</v>
      </c>
      <c r="F8" s="15">
        <f>COUNTIFS('E1-Vazamento'!$B$41:$B$52,"ensaio",'E1-Vazamento'!$H$41:$H$52,"APROVADO")&amp;" / "&amp;(COUNTIFS('E1-Vazamento'!$B$41:$B$52,"ensaio",'E1-Vazamento'!$H$41:$H$52,"APROVADO")+COUNTIFS('E1-Vazamento'!$B$41:$B$52,"ensaio",'E1-Vazamento'!$H$41:$H$52,"REPROVADO"))</f>
        <v/>
      </c>
      <c r="G8" s="19">
        <f>'E2-Vapor 7d'!$E$27</f>
        <v/>
      </c>
    </row>
    <row r="9">
      <c r="A9" s="26" t="inlineStr">
        <is>
          <t>TOTAL</t>
        </is>
      </c>
      <c r="B9" s="27" t="n"/>
      <c r="C9" s="27" t="n"/>
      <c r="D9" s="28">
        <f>SUM(D5:D8)</f>
        <v/>
      </c>
      <c r="E9" s="29">
        <f>SUM(E5:E8)</f>
        <v/>
      </c>
      <c r="F9" s="27" t="n"/>
      <c r="G9" s="27" t="n"/>
    </row>
    <row r="12">
      <c r="A12" s="30" t="inlineStr">
        <is>
          <t>DECISÃO</t>
        </is>
      </c>
    </row>
    <row r="13">
      <c r="A13" s="5" t="inlineStr">
        <is>
          <t>Todas aprovadas em E1 e E2  →  o claim "HERMÉTICO" está sustentado. Arquivar esta planilha assinada. O projeto de gaxeta perde a justificativa.</t>
        </is>
      </c>
    </row>
    <row r="14">
      <c r="A14" s="5" t="inlineStr">
        <is>
          <t>Aprovadas em E1, reprovadas em E2  →  trocar a arte para "NÃO VAZA" na próxima tiragem normal de etiqueta. Não recolher BOPP já comprado.</t>
        </is>
      </c>
    </row>
    <row r="15">
      <c r="A15" s="5" t="inlineStr">
        <is>
          <t>Alguma reprovada em E1  →  conformidade corrente. Escalar hoje para Qualidade/Regulatório. Não é assunto de desenvolvimento de produto.</t>
        </is>
      </c>
    </row>
    <row r="16">
      <c r="A16" s="3" t="inlineStr"/>
    </row>
    <row r="17">
      <c r="A17" s="5" t="inlineStr">
        <is>
          <t>Se o CONTROLE NEGATIVO não vazou no E1, nada acima vale — o método não detecta vazamento. Refazer.</t>
        </is>
      </c>
    </row>
    <row r="20">
      <c r="A20" s="5" t="inlineStr">
        <is>
          <t>Responsável pelo ensaio:</t>
        </is>
      </c>
      <c r="B20" s="6" t="n"/>
    </row>
    <row r="22">
      <c r="A22" s="5" t="inlineStr">
        <is>
          <t>Data de conclusão:</t>
        </is>
      </c>
      <c r="B22" s="6" t="n"/>
    </row>
    <row r="24">
      <c r="A24" s="5" t="inlineStr">
        <is>
          <t>Assinatura:</t>
        </is>
      </c>
      <c r="B24" s="6" t="n"/>
    </row>
    <row r="26">
      <c r="A26" s="5" t="inlineStr">
        <is>
          <t>Visto — Qualidade:</t>
        </is>
      </c>
      <c r="B26" s="6" t="n"/>
    </row>
  </sheetData>
  <mergeCells count="6">
    <mergeCell ref="A1:G1"/>
    <mergeCell ref="B22:D22"/>
    <mergeCell ref="B26:D26"/>
    <mergeCell ref="A2:G2"/>
    <mergeCell ref="B24:D24"/>
    <mergeCell ref="B20:D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2026-09-06T09:14:29Z</dcterms:created>
  <dcterms:modified xsi:type="dcterms:W3CDTF">2026-09-06T09:14:29Z</dcterms:modified>
</cp:coreProperties>
</file>