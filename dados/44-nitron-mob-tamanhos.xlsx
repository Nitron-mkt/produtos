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" sheetId="2" state="visible" r:id="rId4"/>
    <sheet name="Comprimento" sheetId="3" state="visible" r:id="rId5"/>
    <sheet name="Profundidade" sheetId="4" state="visible" r:id="rId6"/>
    <sheet name="Altura" sheetId="5" state="visible" r:id="rId7"/>
    <sheet name="Pilha" sheetId="6" state="visible" r:id="rId8"/>
    <sheet name="Paineis" sheetId="7" state="visible" r:id="rId9"/>
    <sheet name="Modulos" sheetId="8" state="visible" r:id="rId10"/>
  </sheets>
  <definedNames>
    <definedName function="false" hidden="true" localSheetId="7" name="_xlnm._FilterDatabase" vbProcedure="false">Modulos!$A$6:$P$132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<sst xmlns="http://schemas.openxmlformats.org/spreadsheetml/2006/main" count="322" uniqueCount="173">
  <si>
    <t xml:space="preserve">Como usar esta planilha</t>
  </si>
  <si>
    <t xml:space="preserve">Azul</t>
  </si>
  <si>
    <t xml:space="preserve">entrada — pode mudar</t>
  </si>
  <si>
    <t xml:space="preserve">Preto</t>
  </si>
  <si>
    <t xml:space="preserve">fórmula — não digite em cima</t>
  </si>
  <si>
    <t xml:space="preserve">Verde</t>
  </si>
  <si>
    <t xml:space="preserve">valor puxado da aba Parametros</t>
  </si>
  <si>
    <t xml:space="preserve">Amarelo</t>
  </si>
  <si>
    <t xml:space="preserve">cota medida na malha STL e AINDA NÃO conferida em peça física, ou célula de escolha do usuário</t>
  </si>
  <si>
    <t xml:space="preserve">Parametros</t>
  </si>
  <si>
    <t xml:space="preserve">as cotas do sistema. Três fitas no showroom validam ou derrubam tudo: passo vertical de uma baia de 270 (esperado 261,88), profundidade externa com painel 200 (285,3), sobra da peça L por lado (21,62).</t>
  </si>
  <si>
    <t xml:space="preserve">Comprimento</t>
  </si>
  <si>
    <t xml:space="preserve">comprimento externo para cada ripa × N vãos, com e sem coroa</t>
  </si>
  <si>
    <t xml:space="preserve">Profundidade</t>
  </si>
  <si>
    <t xml:space="preserve">as três profundidades possíveis — uma por módulo, sem afinar por prateleira</t>
  </si>
  <si>
    <t xml:space="preserve">Altura</t>
  </si>
  <si>
    <t xml:space="preserve">altura total por contagem de baias de 270 e 513, sem e com coroa</t>
  </si>
  <si>
    <t xml:space="preserve">Pilha</t>
  </si>
  <si>
    <t xml:space="preserve">calculadora: digite a sequência de baias e leia a face de cada prateleira e a zona do varejo</t>
  </si>
  <si>
    <t xml:space="preserve">Paineis</t>
  </si>
  <si>
    <t xml:space="preserve">a grade de 12 e a regra da proporção que deixa 7</t>
  </si>
  <si>
    <t xml:space="preserve">Modulos</t>
  </si>
  <si>
    <t xml:space="preserve">as 126 combinações painel × N vãos com comprimento, profundidade, área de piso e contagem de peças; filtre pela linha 6</t>
  </si>
  <si>
    <t xml:space="preserve">Nitron Mob — parâmetros do sistema</t>
  </si>
  <si>
    <t xml:space="preserve">Células azuis são entradas. As amarelas vieram da malha STL e ainda não foram conferidas com trena: mude aqui e tudo recalcula.</t>
  </si>
  <si>
    <t xml:space="preserve">Parâmetro</t>
  </si>
  <si>
    <t xml:space="preserve">Símbolo</t>
  </si>
  <si>
    <t xml:space="preserve">Valor (mm)</t>
  </si>
  <si>
    <t xml:space="preserve">Origem</t>
  </si>
  <si>
    <t xml:space="preserve">Como conferir</t>
  </si>
  <si>
    <t xml:space="preserve">Profundidade do encaixe da ripa no nó</t>
  </si>
  <si>
    <t xml:space="preserve">ENC</t>
  </si>
  <si>
    <t xml:space="preserve">malha STL</t>
  </si>
  <si>
    <t xml:space="preserve">ripa dentro da trizeta até o fundo</t>
  </si>
  <si>
    <t xml:space="preserve">Trizeta · eixo do comprimento</t>
  </si>
  <si>
    <t xml:space="preserve">NOX</t>
  </si>
  <si>
    <t xml:space="preserve">largura externa da trizeta</t>
  </si>
  <si>
    <t xml:space="preserve">Cruzeta · eixo do comprimento</t>
  </si>
  <si>
    <t xml:space="preserve">NOXC</t>
  </si>
  <si>
    <t xml:space="preserve">largura externa da cruzeta</t>
  </si>
  <si>
    <t xml:space="preserve">Trizeta · eixo da profundidade</t>
  </si>
  <si>
    <t xml:space="preserve">NOY</t>
  </si>
  <si>
    <t xml:space="preserve">PROFUNDIDADE externa com painel de 200 deve dar 285,3</t>
  </si>
  <si>
    <t xml:space="preserve">Trizeta · eixo vertical (passo do nó)</t>
  </si>
  <si>
    <t xml:space="preserve">NOZ</t>
  </si>
  <si>
    <t xml:space="preserve">PASSO VERTICAL de uma baia de 270 deve dar 261,88 (rival: 335,0)</t>
  </si>
  <si>
    <t xml:space="preserve">Peça L · sobra por lado (coroa)</t>
  </si>
  <si>
    <t xml:space="preserve">NOL</t>
  </si>
  <si>
    <t xml:space="preserve">SOBRA da peça L por lado deve dar 21,62</t>
  </si>
  <si>
    <t xml:space="preserve">Pé exposto abaixo do primeiro nó</t>
  </si>
  <si>
    <t xml:space="preserve">PE</t>
  </si>
  <si>
    <t xml:space="preserve">do chão à face inferior da trizeta</t>
  </si>
  <si>
    <t xml:space="preserve">Espessura do painel (pinus)</t>
  </si>
  <si>
    <t xml:space="preserve">PANT</t>
  </si>
  <si>
    <t xml:space="preserve">informado</t>
  </si>
  <si>
    <t xml:space="preserve">paquímetro no painel</t>
  </si>
  <si>
    <t xml:space="preserve">Ripa consome no total (2 × ENC)</t>
  </si>
  <si>
    <t xml:space="preserve">CONSOME</t>
  </si>
  <si>
    <t xml:space="preserve">fórmula</t>
  </si>
  <si>
    <t xml:space="preserve">Regra de proporção do painel · mínimo</t>
  </si>
  <si>
    <t xml:space="preserve">RAZ_MIN</t>
  </si>
  <si>
    <t xml:space="preserve">decisão</t>
  </si>
  <si>
    <t xml:space="preserve">comprimento ÷ largura</t>
  </si>
  <si>
    <t xml:space="preserve">Regra de proporção do painel · máximo</t>
  </si>
  <si>
    <t xml:space="preserve">RAZ_MAX</t>
  </si>
  <si>
    <t xml:space="preserve">Ripas de LARGURA (fixam a profundidade — uma por módulo)</t>
  </si>
  <si>
    <t xml:space="preserve">Código</t>
  </si>
  <si>
    <t xml:space="preserve">Largura (mm)</t>
  </si>
  <si>
    <t xml:space="preserve">Painel (largura)</t>
  </si>
  <si>
    <t xml:space="preserve">BLA-01-AC</t>
  </si>
  <si>
    <t xml:space="preserve">BLA-03-AC</t>
  </si>
  <si>
    <t xml:space="preserve">PSC-02</t>
  </si>
  <si>
    <t xml:space="preserve">Ripas de COMPRIMENTO (uma por vão)</t>
  </si>
  <si>
    <t xml:space="preserve">Comprimento (mm)</t>
  </si>
  <si>
    <t xml:space="preserve">Painel (comprimento)</t>
  </si>
  <si>
    <t xml:space="preserve">PSC-01</t>
  </si>
  <si>
    <t xml:space="preserve">PSC-03</t>
  </si>
  <si>
    <t xml:space="preserve">PSC-04</t>
  </si>
  <si>
    <t xml:space="preserve">Ripas de ALTURA (uma por baia; a peça L usa a mesma ripa como coroa)</t>
  </si>
  <si>
    <t xml:space="preserve">Altura (mm)</t>
  </si>
  <si>
    <t xml:space="preserve">BAL-02-AC</t>
  </si>
  <si>
    <t xml:space="preserve">PSA-05</t>
  </si>
  <si>
    <t xml:space="preserve">Fonte: malhas STL das cinco peças (trizeta, cruzeta, peça L, porta-haste, tampa) medidas em 04/09/2026; ripas e painéis conforme lista fixada pelo marketing em 05/09/2026. Corroboração: ripas 315/415/595/717 + 42,02 dão 357/457/637/759 contra painéis 360/450/634/754 — quatro em quatro dentro de ±7 mm.</t>
  </si>
  <si>
    <t xml:space="preserve">Comprimento externo do módulo (mm)</t>
  </si>
  <si>
    <t xml:space="preserve">Fórmula: 2 × NOX + (N − 1) × NOXC + N × (ripa − CONSOME). A coroa (peça L) acrescenta 2 × NOL de cada lado do topo — não muda a base.</t>
  </si>
  <si>
    <t xml:space="preserve">N vãos</t>
  </si>
  <si>
    <t xml:space="preserve">PSC-01 · 315</t>
  </si>
  <si>
    <t xml:space="preserve">PSC-02 · 415</t>
  </si>
  <si>
    <t xml:space="preserve">PSC-03 · 595</t>
  </si>
  <si>
    <t xml:space="preserve">PSC-04 · 717</t>
  </si>
  <si>
    <t xml:space="preserve">PSC-01 com coroa</t>
  </si>
  <si>
    <t xml:space="preserve">PSC-02 com coroa</t>
  </si>
  <si>
    <t xml:space="preserve">PSC-03 com coroa</t>
  </si>
  <si>
    <t xml:space="preserve">PSC-04 com coroa</t>
  </si>
  <si>
    <t xml:space="preserve">painel →</t>
  </si>
  <si>
    <t xml:space="preserve">360 mm</t>
  </si>
  <si>
    <t xml:space="preserve">450 mm</t>
  </si>
  <si>
    <t xml:space="preserve">634 mm</t>
  </si>
  <si>
    <t xml:space="preserve">754 mm</t>
  </si>
  <si>
    <t xml:space="preserve">Conferência com o showroom: PSC-04 × 18 = 13.290 (parede sul 13.350, folga 60) · PSC-01 × 18 = 6.054 (norte 6.100) · PSC-03 × 11 = 6.788 (fundo 6.873) · PSC-02 × 15 = 6.548 (entrada).</t>
  </si>
  <si>
    <t xml:space="preserve">Profundidade externa do módulo (mm)</t>
  </si>
  <si>
    <t xml:space="preserve">Fórmula: ripa de largura + 2 × (NOY − ENC). UMA profundidade por módulo: a ripa de largura fixa a distância entre os postes, e os postes são contínuos.</t>
  </si>
  <si>
    <t xml:space="preserve">Ripa de largura</t>
  </si>
  <si>
    <t xml:space="preserve">Ripa (mm)</t>
  </si>
  <si>
    <t xml:space="preserve">Profundidade externa</t>
  </si>
  <si>
    <t xml:space="preserve">Sobra do painel por lado</t>
  </si>
  <si>
    <t xml:space="preserve">Painel vs. externo</t>
  </si>
  <si>
    <t xml:space="preserve">O painel apoia nas duas ripas de largura e sobressai (D−B)/2 de cada lado: 0 no de 200, 6,5 no de 300, 22,5 no de 460. Ele nunca alcança a cota externa — o nó sobra 42,63 por lado.</t>
  </si>
  <si>
    <t xml:space="preserve">Padrão de varejo para referência: prateleira superior 200–400 mm, base 300–500 mm, gôndola dupla face 813–1.219 mm.</t>
  </si>
  <si>
    <t xml:space="preserve">Altura externa do módulo por composição de baias (mm)</t>
  </si>
  <si>
    <t xml:space="preserve">Fórmula: PE + (n_baias + 1) × NOZ + Σ(ripa − CONSOME). Só as CONTAGENS importam para a altura total; a ORDEM muda as faces (ver aba Pilha). Prateleiras = baias + 1.</t>
  </si>
  <si>
    <t xml:space="preserve">SEM coroa — módulo termina na última prateleira</t>
  </si>
  <si>
    <t xml:space="preserve">baias de 270 ↓ / baias de 513 →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</si>
  <si>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</si>
  <si>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</si>
  <si>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</si>
  <si>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</si>
  <si>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</si>
  <si>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COM coroa de 270 (peça L no topo, ganha um nível sem prateleira — gancheira ou arara)</t>
  </si>
  <si>
    <t xml:space="preserve">COM coroa de 513</t>
  </si>
  <si>
    <t xml:space="preserve">Conferência: 270 × 6 = 1.664 (paredões sul e norte) · 513·513·270·270 = 1.626 (fundo e entrada). Nada acima de 1.700 fica na zona do topo do varejo; a coroa NÃO conta como prateleira.</t>
  </si>
  <si>
    <t xml:space="preserve">Cabe na baia: 270 → vão livre de </t>
  </si>
  <si>
    <t xml:space="preserve">mm · 513 → </t>
  </si>
  <si>
    <t xml:space="preserve">mm (produto mais alto que isso não entra)</t>
  </si>
  <si>
    <t xml:space="preserve">Calculadora de pilha — altura de cada prateleira</t>
  </si>
  <si>
    <t xml:space="preserve">Digite a ripa de cada baia (270 ou 513) de baixo para cima nas células azuis; deixe em branco as que não usar. Face da prateleira = topo do nó + metade do painel.</t>
  </si>
  <si>
    <t xml:space="preserve">Baia (de baixo p/ cima)</t>
  </si>
  <si>
    <t xml:space="preserve">Prateleira nº</t>
  </si>
  <si>
    <t xml:space="preserve">Face da prateleira (mm)</t>
  </si>
  <si>
    <t xml:space="preserve">Vão livre acima (mm)</t>
  </si>
  <si>
    <t xml:space="preserve">Zona do varejo</t>
  </si>
  <si>
    <t xml:space="preserve">topo</t>
  </si>
  <si>
    <t xml:space="preserve">Altura externa do módulo</t>
  </si>
  <si>
    <t xml:space="preserve">Prateleiras</t>
  </si>
  <si>
    <t xml:space="preserve">Razão altura ÷ base (500 mm)</t>
  </si>
  <si>
    <t xml:space="preserve">: 1  · acima de 3 pede ancoragem na parede</t>
  </si>
  <si>
    <t xml:space="preserve">Zonas do varejo: chão até 800 · mãos 800–1.400 · olhos 1.400–1.700 (vende 35–50% mais) · topo acima de 1.700. Exemplo carregado: 270 × 6 = paredão sul, faces 100 · 362 · 624 · 886 · 1.148 · 1.409 · 1.671.</t>
  </si>
  <si>
    <t xml:space="preserve">A grade de painéis e a regra da proporção</t>
  </si>
  <si>
    <t xml:space="preserve">Das 12 combinações largura × comprimento, ficam as que têm comprimento ÷ largura entre RAZ_MIN e RAZ_MAX. As demais saem para não estocar peça que empena (200 estreito e longo) ou quase quadrado.</t>
  </si>
  <si>
    <t xml:space="preserve">Largura ↓ / Comprimento →</t>
  </si>
  <si>
    <t xml:space="preserve">360</t>
  </si>
  <si>
    <t xml:space="preserve">450</t>
  </si>
  <si>
    <t xml:space="preserve">634</t>
  </si>
  <si>
    <t xml:space="preserve">754</t>
  </si>
  <si>
    <t xml:space="preserve">Painéis que ficam (7):</t>
  </si>
  <si>
    <t xml:space="preserve">Os sete: 200×360 · 200×450 · 300×450 · 300×634 · 300×754 · 460×634 · 460×754. Saem: 200×634 e 200×754 (empenam), 300×360, 460×360 e 460×450 (quase quadrados).</t>
  </si>
  <si>
    <t xml:space="preserve">Todas as combinações de painel × número de vãos</t>
  </si>
  <si>
    <t xml:space="preserve">Um módulo = uma ripa de largura (profundidade) + uma ripa de comprimento (vão) × N vãos + uma pilha de baias (altura). Aqui variam painel e N; a altura vem da aba Altura ou da calculadora Pilha.</t>
  </si>
  <si>
    <t xml:space="preserve">Nº de prateleiras para a contagem de peças →</t>
  </si>
  <si>
    <t xml:space="preserve">(baias + 1; o exemplo é a pilha 270 × 6)</t>
  </si>
  <si>
    <t xml:space="preserve">Painel</t>
  </si>
  <si>
    <t xml:space="preserve">Largura (ripa)</t>
  </si>
  <si>
    <t xml:space="preserve">Comprimento (ripa)</t>
  </si>
  <si>
    <t xml:space="preserve">Comprimento externo</t>
  </si>
  <si>
    <t xml:space="preserve">Área de piso (m²)</t>
  </si>
  <si>
    <t xml:space="preserve">Frente por prateleira (m)</t>
  </si>
  <si>
    <t xml:space="preserve">Trizetas</t>
  </si>
  <si>
    <t xml:space="preserve">Cruzetas</t>
  </si>
  <si>
    <t xml:space="preserve">Peças L (coroa)</t>
  </si>
  <si>
    <t xml:space="preserve">Tampas</t>
  </si>
  <si>
    <t xml:space="preserve">Painéis</t>
  </si>
  <si>
    <t xml:space="preserve">Ripas de comprimento</t>
  </si>
  <si>
    <t xml:space="preserve">Ripas de largura</t>
  </si>
  <si>
    <t xml:space="preserve">Ripas verticais</t>
  </si>
  <si>
    <t xml:space="preserve">200×360</t>
  </si>
  <si>
    <t xml:space="preserve">200×450</t>
  </si>
  <si>
    <t xml:space="preserve">300×450</t>
  </si>
  <si>
    <t xml:space="preserve">300×634</t>
  </si>
  <si>
    <t xml:space="preserve">300×754</t>
  </si>
  <si>
    <t xml:space="preserve">460×634</t>
  </si>
  <si>
    <t xml:space="preserve">460×754</t>
  </si>
  <si>
    <t xml:space="preserve">Contagem de peças pela lógica do caderno (analise/pdv-caderno.py): trizetas 4 por nível · cruzetas 2 por poste interno por nível · tampas 2 por linha de postes · painéis N por prateleira. Com coroa (peça L): +4 peças L, +2 tampas por linha, +1 ripa vertical por poste e as cruzetas ganham um nível. Painel de fundo não está contado.</t>
  </si>
  <si>
    <t xml:space="preserve">Cruzetas para as quatro paredes do showroom: 716. Injetadas até hoje: 4.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</si>
</sst>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"/>
    <numFmt numFmtId="167" formatCode="General"/>
    <numFmt numFmtId="168" formatCode="#,##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A7AC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EA7A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1EA7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4" t="s">
        <v>4</v>
      </c>
    </row>
    <row r="5" customFormat="false" ht="15" hidden="false" customHeight="false" outlineLevel="0" collapsed="false">
      <c r="A5" s="6" t="s">
        <v>5</v>
      </c>
      <c r="B5" s="4" t="s">
        <v>6</v>
      </c>
    </row>
    <row r="6" customFormat="false" ht="15" hidden="false" customHeight="false" outlineLevel="0" collapsed="false">
      <c r="A6" s="7" t="s">
        <v>7</v>
      </c>
      <c r="B6" s="4" t="s">
        <v>8</v>
      </c>
    </row>
    <row r="7" customFormat="false" ht="15" hidden="false" customHeight="false" outlineLevel="0" collapsed="false">
      <c r="A7" s="5"/>
      <c r="B7" s="4"/>
    </row>
    <row r="8" customFormat="false" ht="23.8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 t="s">
        <v>15</v>
      </c>
      <c r="B11" s="4" t="s">
        <v>16</v>
      </c>
    </row>
    <row r="12" customFormat="false" ht="15" hidden="false" customHeight="false" outlineLevel="0" collapsed="false">
      <c r="A12" s="5" t="s">
        <v>17</v>
      </c>
      <c r="B12" s="4" t="s">
        <v>18</v>
      </c>
    </row>
    <row r="13" customFormat="false" ht="15" hidden="false" customHeight="false" outlineLevel="0" collapsed="false">
      <c r="A13" s="5" t="s">
        <v>19</v>
      </c>
      <c r="B13" s="4" t="s">
        <v>20</v>
      </c>
    </row>
    <row r="14" customFormat="false" ht="15" hidden="false" customHeight="false" outlineLevel="0" collapsed="false">
      <c r="A14" s="5" t="s">
        <v>21</v>
      </c>
      <c r="B14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23</v>
      </c>
      <c r="B1" s="2"/>
      <c r="C1" s="2"/>
      <c r="D1" s="2"/>
      <c r="E1" s="2"/>
    </row>
    <row r="2" customFormat="false" ht="15" hidden="false" customHeight="false" outlineLevel="0" collapsed="false">
      <c r="A2" s="8" t="s">
        <v>24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</row>
    <row r="5" customFormat="false" ht="15" hidden="false" customHeight="false" outlineLevel="0" collapsed="false">
      <c r="A5" s="10" t="s">
        <v>30</v>
      </c>
      <c r="B5" s="11" t="s">
        <v>31</v>
      </c>
      <c r="C5" s="12" t="n">
        <v>40.6</v>
      </c>
      <c r="D5" s="10" t="s">
        <v>32</v>
      </c>
      <c r="E5" s="13" t="s">
        <v>33</v>
      </c>
    </row>
    <row r="6" customFormat="false" ht="15" hidden="false" customHeight="false" outlineLevel="0" collapsed="false">
      <c r="A6" s="10" t="s">
        <v>34</v>
      </c>
      <c r="B6" s="11" t="s">
        <v>35</v>
      </c>
      <c r="C6" s="12" t="n">
        <v>61.61</v>
      </c>
      <c r="D6" s="10" t="s">
        <v>32</v>
      </c>
      <c r="E6" s="13" t="s">
        <v>36</v>
      </c>
    </row>
    <row r="7" customFormat="false" ht="15" hidden="false" customHeight="false" outlineLevel="0" collapsed="false">
      <c r="A7" s="10" t="s">
        <v>37</v>
      </c>
      <c r="B7" s="11" t="s">
        <v>38</v>
      </c>
      <c r="C7" s="12" t="n">
        <v>101.3</v>
      </c>
      <c r="D7" s="10" t="s">
        <v>32</v>
      </c>
      <c r="E7" s="13" t="s">
        <v>39</v>
      </c>
    </row>
    <row r="8" customFormat="false" ht="15" hidden="false" customHeight="false" outlineLevel="0" collapsed="false">
      <c r="A8" s="10" t="s">
        <v>40</v>
      </c>
      <c r="B8" s="11" t="s">
        <v>41</v>
      </c>
      <c r="C8" s="12" t="n">
        <v>83.23</v>
      </c>
      <c r="D8" s="10" t="s">
        <v>32</v>
      </c>
      <c r="E8" s="13" t="s">
        <v>42</v>
      </c>
    </row>
    <row r="9" customFormat="false" ht="15" hidden="false" customHeight="false" outlineLevel="0" collapsed="false">
      <c r="A9" s="10" t="s">
        <v>43</v>
      </c>
      <c r="B9" s="11" t="s">
        <v>44</v>
      </c>
      <c r="C9" s="12" t="n">
        <v>73.08</v>
      </c>
      <c r="D9" s="10" t="s">
        <v>32</v>
      </c>
      <c r="E9" s="13" t="s">
        <v>45</v>
      </c>
    </row>
    <row r="10" customFormat="false" ht="15" hidden="false" customHeight="false" outlineLevel="0" collapsed="false">
      <c r="A10" s="10" t="s">
        <v>46</v>
      </c>
      <c r="B10" s="11" t="s">
        <v>47</v>
      </c>
      <c r="C10" s="12" t="n">
        <v>21.92</v>
      </c>
      <c r="D10" s="10" t="s">
        <v>32</v>
      </c>
      <c r="E10" s="13" t="s">
        <v>48</v>
      </c>
    </row>
    <row r="11" customFormat="false" ht="15" hidden="false" customHeight="false" outlineLevel="0" collapsed="false">
      <c r="A11" s="10" t="s">
        <v>49</v>
      </c>
      <c r="B11" s="11" t="s">
        <v>50</v>
      </c>
      <c r="C11" s="12" t="n">
        <v>19.4</v>
      </c>
      <c r="D11" s="10" t="s">
        <v>32</v>
      </c>
      <c r="E11" s="13" t="s">
        <v>51</v>
      </c>
    </row>
    <row r="12" customFormat="false" ht="15" hidden="false" customHeight="false" outlineLevel="0" collapsed="false">
      <c r="A12" s="10" t="s">
        <v>52</v>
      </c>
      <c r="B12" s="11" t="s">
        <v>53</v>
      </c>
      <c r="C12" s="14" t="n">
        <v>15</v>
      </c>
      <c r="D12" s="10" t="s">
        <v>54</v>
      </c>
      <c r="E12" s="13" t="s">
        <v>55</v>
      </c>
    </row>
    <row r="13" customFormat="false" ht="15" hidden="false" customHeight="false" outlineLevel="0" collapsed="false">
      <c r="A13" s="10" t="s">
        <v>56</v>
      </c>
      <c r="B13" s="11" t="s">
        <v>57</v>
      </c>
      <c r="C13" s="15" t="n">
        <f aca="false">2*C5</f>
        <v>81.2</v>
      </c>
      <c r="D13" s="10" t="s">
        <v>58</v>
      </c>
      <c r="E13" s="13"/>
    </row>
    <row r="14" customFormat="false" ht="15" hidden="false" customHeight="false" outlineLevel="0" collapsed="false">
      <c r="A14" s="10" t="s">
        <v>59</v>
      </c>
      <c r="B14" s="11" t="s">
        <v>60</v>
      </c>
      <c r="C14" s="14" t="n">
        <v>1.3</v>
      </c>
      <c r="D14" s="10" t="s">
        <v>61</v>
      </c>
      <c r="E14" s="13" t="s">
        <v>62</v>
      </c>
    </row>
    <row r="15" customFormat="false" ht="15" hidden="false" customHeight="false" outlineLevel="0" collapsed="false">
      <c r="A15" s="10" t="s">
        <v>63</v>
      </c>
      <c r="B15" s="11" t="s">
        <v>64</v>
      </c>
      <c r="C15" s="14" t="n">
        <v>2.6</v>
      </c>
      <c r="D15" s="10" t="s">
        <v>61</v>
      </c>
      <c r="E15" s="13" t="s">
        <v>62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5" t="s">
        <v>65</v>
      </c>
      <c r="B18" s="2"/>
      <c r="C18" s="2"/>
      <c r="D18" s="2"/>
      <c r="E18" s="2"/>
    </row>
    <row r="19" customFormat="false" ht="15" hidden="false" customHeight="false" outlineLevel="0" collapsed="false">
      <c r="A19" s="9" t="s">
        <v>66</v>
      </c>
      <c r="B19" s="9" t="s">
        <v>67</v>
      </c>
      <c r="C19" s="9" t="s">
        <v>68</v>
      </c>
      <c r="D19" s="2"/>
      <c r="E19" s="2"/>
    </row>
    <row r="20" customFormat="false" ht="15" hidden="false" customHeight="false" outlineLevel="0" collapsed="false">
      <c r="A20" s="10" t="s">
        <v>69</v>
      </c>
      <c r="B20" s="16" t="n">
        <v>200</v>
      </c>
      <c r="C20" s="16" t="n">
        <v>200</v>
      </c>
      <c r="D20" s="2"/>
      <c r="E20" s="2"/>
    </row>
    <row r="21" customFormat="false" ht="15" hidden="false" customHeight="false" outlineLevel="0" collapsed="false">
      <c r="A21" s="10" t="s">
        <v>70</v>
      </c>
      <c r="B21" s="16" t="n">
        <v>287</v>
      </c>
      <c r="C21" s="16" t="n">
        <v>300</v>
      </c>
      <c r="D21" s="2"/>
      <c r="E21" s="2"/>
    </row>
    <row r="22" customFormat="false" ht="15" hidden="false" customHeight="false" outlineLevel="0" collapsed="false">
      <c r="A22" s="10" t="s">
        <v>71</v>
      </c>
      <c r="B22" s="16" t="n">
        <v>415</v>
      </c>
      <c r="C22" s="16" t="n">
        <v>460</v>
      </c>
      <c r="D22" s="2"/>
      <c r="E22" s="2"/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5" t="s">
        <v>72</v>
      </c>
      <c r="B24" s="2"/>
      <c r="C24" s="2"/>
      <c r="D24" s="2"/>
      <c r="E24" s="2"/>
    </row>
    <row r="25" customFormat="false" ht="15" hidden="false" customHeight="false" outlineLevel="0" collapsed="false">
      <c r="A25" s="9" t="s">
        <v>66</v>
      </c>
      <c r="B25" s="9" t="s">
        <v>73</v>
      </c>
      <c r="C25" s="9" t="s">
        <v>74</v>
      </c>
      <c r="D25" s="2"/>
      <c r="E25" s="2"/>
    </row>
    <row r="26" customFormat="false" ht="15" hidden="false" customHeight="false" outlineLevel="0" collapsed="false">
      <c r="A26" s="10" t="s">
        <v>75</v>
      </c>
      <c r="B26" s="16" t="n">
        <v>315</v>
      </c>
      <c r="C26" s="16" t="n">
        <v>360</v>
      </c>
      <c r="D26" s="2"/>
      <c r="E26" s="2"/>
    </row>
    <row r="27" customFormat="false" ht="15" hidden="false" customHeight="false" outlineLevel="0" collapsed="false">
      <c r="A27" s="10" t="s">
        <v>71</v>
      </c>
      <c r="B27" s="16" t="n">
        <v>415</v>
      </c>
      <c r="C27" s="16" t="n">
        <v>450</v>
      </c>
      <c r="D27" s="2"/>
      <c r="E27" s="2"/>
    </row>
    <row r="28" customFormat="false" ht="15" hidden="false" customHeight="false" outlineLevel="0" collapsed="false">
      <c r="A28" s="10" t="s">
        <v>76</v>
      </c>
      <c r="B28" s="16" t="n">
        <v>595</v>
      </c>
      <c r="C28" s="16" t="n">
        <v>634</v>
      </c>
      <c r="D28" s="2"/>
      <c r="E28" s="2"/>
    </row>
    <row r="29" customFormat="false" ht="15" hidden="false" customHeight="false" outlineLevel="0" collapsed="false">
      <c r="A29" s="10" t="s">
        <v>77</v>
      </c>
      <c r="B29" s="16" t="n">
        <v>717</v>
      </c>
      <c r="C29" s="16" t="n">
        <v>754</v>
      </c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5" t="s">
        <v>78</v>
      </c>
      <c r="B31" s="2"/>
      <c r="C31" s="2"/>
      <c r="D31" s="2"/>
      <c r="E31" s="2"/>
    </row>
    <row r="32" customFormat="false" ht="15" hidden="false" customHeight="false" outlineLevel="0" collapsed="false">
      <c r="A32" s="9" t="s">
        <v>66</v>
      </c>
      <c r="B32" s="9" t="s">
        <v>79</v>
      </c>
      <c r="C32" s="2"/>
      <c r="D32" s="2"/>
      <c r="E32" s="2"/>
    </row>
    <row r="33" customFormat="false" ht="15" hidden="false" customHeight="false" outlineLevel="0" collapsed="false">
      <c r="A33" s="10" t="s">
        <v>80</v>
      </c>
      <c r="B33" s="16" t="n">
        <v>270</v>
      </c>
      <c r="C33" s="2"/>
      <c r="D33" s="2"/>
      <c r="E33" s="2"/>
    </row>
    <row r="34" customFormat="false" ht="15" hidden="false" customHeight="false" outlineLevel="0" collapsed="false">
      <c r="A34" s="10" t="s">
        <v>81</v>
      </c>
      <c r="B34" s="16" t="n">
        <v>513</v>
      </c>
      <c r="C34" s="2"/>
      <c r="D34" s="2"/>
      <c r="E34" s="2"/>
    </row>
    <row r="35" customFormat="false" ht="15" hidden="false" customHeight="false" outlineLevel="0" collapsed="false">
      <c r="A35" s="2"/>
      <c r="B35" s="2"/>
      <c r="C35" s="2"/>
      <c r="D35" s="2"/>
      <c r="E35" s="2"/>
    </row>
    <row r="36" customFormat="false" ht="15" hidden="false" customHeight="true" outlineLevel="0" collapsed="false">
      <c r="A36" s="17" t="s">
        <v>82</v>
      </c>
      <c r="B36" s="17"/>
      <c r="C36" s="17"/>
      <c r="D36" s="17"/>
      <c r="E36" s="17"/>
    </row>
    <row r="37" customFormat="false" ht="15" hidden="false" customHeight="false" outlineLevel="0" collapsed="false">
      <c r="A37" s="17"/>
      <c r="B37" s="17"/>
      <c r="C37" s="17"/>
      <c r="D37" s="17"/>
      <c r="E37" s="17"/>
    </row>
    <row r="38" customFormat="false" ht="15" hidden="false" customHeight="false" outlineLevel="0" collapsed="false">
      <c r="A38" s="17"/>
      <c r="B38" s="17"/>
      <c r="C38" s="17"/>
      <c r="D38" s="17"/>
      <c r="E38" s="17"/>
    </row>
  </sheetData>
  <mergeCells count="1">
    <mergeCell ref="A36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5" min="2" style="0" width="15"/>
    <col collapsed="false" customWidth="true" hidden="false" outlineLevel="0" max="6" min="6" style="0" width="3"/>
    <col collapsed="false" customWidth="true" hidden="false" outlineLevel="0" max="10" min="7" style="0" width="17"/>
  </cols>
  <sheetData>
    <row r="1" customFormat="false" ht="17.35" hidden="false" customHeight="false" outlineLevel="0" collapsed="false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8" t="s">
        <v>84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9" t="s">
        <v>85</v>
      </c>
      <c r="B4" s="9" t="s">
        <v>86</v>
      </c>
      <c r="C4" s="9" t="s">
        <v>87</v>
      </c>
      <c r="D4" s="9" t="s">
        <v>88</v>
      </c>
      <c r="E4" s="9" t="s">
        <v>89</v>
      </c>
      <c r="F4" s="9"/>
      <c r="G4" s="9" t="s">
        <v>90</v>
      </c>
      <c r="H4" s="9" t="s">
        <v>91</v>
      </c>
      <c r="I4" s="9" t="s">
        <v>92</v>
      </c>
      <c r="J4" s="9" t="s">
        <v>93</v>
      </c>
    </row>
    <row r="5" customFormat="false" ht="15" hidden="false" customHeight="false" outlineLevel="0" collapsed="false">
      <c r="A5" s="8" t="s">
        <v>94</v>
      </c>
      <c r="B5" s="18" t="s">
        <v>95</v>
      </c>
      <c r="C5" s="18" t="s">
        <v>96</v>
      </c>
      <c r="D5" s="18" t="s">
        <v>97</v>
      </c>
      <c r="E5" s="18" t="s">
        <v>98</v>
      </c>
      <c r="F5" s="2"/>
      <c r="G5" s="2"/>
      <c r="H5" s="2"/>
      <c r="I5" s="2"/>
      <c r="J5" s="2"/>
    </row>
    <row r="6" customFormat="false" ht="15" hidden="false" customHeight="false" outlineLevel="0" collapsed="false">
      <c r="A6" s="19" t="n">
        <v>1</v>
      </c>
      <c r="B6" s="20" t="n">
        <f aca="false">2*Parametros!$C$6+(A6-1)*Parametros!$C$7+A6*(Parametros!$B$26-Parametros!$C$13)</f>
        <v>357.02</v>
      </c>
      <c r="C6" s="20" t="n">
        <f aca="false">2*Parametros!$C$6+(A6-1)*Parametros!$C$7+A6*(Parametros!$B$27-Parametros!$C$13)</f>
        <v>457.02</v>
      </c>
      <c r="D6" s="20" t="n">
        <f aca="false">2*Parametros!$C$6+(A6-1)*Parametros!$C$7+A6*(Parametros!$B$28-Parametros!$C$13)</f>
        <v>637.02</v>
      </c>
      <c r="E6" s="20" t="n">
        <f aca="false">2*Parametros!$C$6+(A6-1)*Parametros!$C$7+A6*(Parametros!$B$29-Parametros!$C$13)</f>
        <v>759.02</v>
      </c>
      <c r="F6" s="2"/>
      <c r="G6" s="20" t="n">
        <f aca="false">B6+2*Parametros!$C$10</f>
        <v>400.86</v>
      </c>
      <c r="H6" s="20" t="n">
        <f aca="false">C6+2*Parametros!$C$10</f>
        <v>500.86</v>
      </c>
      <c r="I6" s="20" t="n">
        <f aca="false">D6+2*Parametros!$C$10</f>
        <v>680.86</v>
      </c>
      <c r="J6" s="20" t="n">
        <f aca="false">E6+2*Parametros!$C$10</f>
        <v>802.86</v>
      </c>
    </row>
    <row r="7" customFormat="false" ht="15" hidden="false" customHeight="false" outlineLevel="0" collapsed="false">
      <c r="A7" s="19" t="n">
        <v>2</v>
      </c>
      <c r="B7" s="20" t="n">
        <f aca="false">2*Parametros!$C$6+(A7-1)*Parametros!$C$7+A7*(Parametros!$B$26-Parametros!$C$13)</f>
        <v>692.12</v>
      </c>
      <c r="C7" s="20" t="n">
        <f aca="false">2*Parametros!$C$6+(A7-1)*Parametros!$C$7+A7*(Parametros!$B$27-Parametros!$C$13)</f>
        <v>892.12</v>
      </c>
      <c r="D7" s="20" t="n">
        <f aca="false">2*Parametros!$C$6+(A7-1)*Parametros!$C$7+A7*(Parametros!$B$28-Parametros!$C$13)</f>
        <v>1252.12</v>
      </c>
      <c r="E7" s="20" t="n">
        <f aca="false">2*Parametros!$C$6+(A7-1)*Parametros!$C$7+A7*(Parametros!$B$29-Parametros!$C$13)</f>
        <v>1496.12</v>
      </c>
      <c r="F7" s="2"/>
      <c r="G7" s="20" t="n">
        <f aca="false">B7+2*Parametros!$C$10</f>
        <v>735.96</v>
      </c>
      <c r="H7" s="20" t="n">
        <f aca="false">C7+2*Parametros!$C$10</f>
        <v>935.96</v>
      </c>
      <c r="I7" s="20" t="n">
        <f aca="false">D7+2*Parametros!$C$10</f>
        <v>1295.96</v>
      </c>
      <c r="J7" s="20" t="n">
        <f aca="false">E7+2*Parametros!$C$10</f>
        <v>1539.96</v>
      </c>
    </row>
    <row r="8" customFormat="false" ht="15" hidden="false" customHeight="false" outlineLevel="0" collapsed="false">
      <c r="A8" s="19" t="n">
        <v>3</v>
      </c>
      <c r="B8" s="20" t="n">
        <f aca="false">2*Parametros!$C$6+(A8-1)*Parametros!$C$7+A8*(Parametros!$B$26-Parametros!$C$13)</f>
        <v>1027.22</v>
      </c>
      <c r="C8" s="20" t="n">
        <f aca="false">2*Parametros!$C$6+(A8-1)*Parametros!$C$7+A8*(Parametros!$B$27-Parametros!$C$13)</f>
        <v>1327.22</v>
      </c>
      <c r="D8" s="20" t="n">
        <f aca="false">2*Parametros!$C$6+(A8-1)*Parametros!$C$7+A8*(Parametros!$B$28-Parametros!$C$13)</f>
        <v>1867.22</v>
      </c>
      <c r="E8" s="20" t="n">
        <f aca="false">2*Parametros!$C$6+(A8-1)*Parametros!$C$7+A8*(Parametros!$B$29-Parametros!$C$13)</f>
        <v>2233.22</v>
      </c>
      <c r="F8" s="2"/>
      <c r="G8" s="20" t="n">
        <f aca="false">B8+2*Parametros!$C$10</f>
        <v>1071.06</v>
      </c>
      <c r="H8" s="20" t="n">
        <f aca="false">C8+2*Parametros!$C$10</f>
        <v>1371.06</v>
      </c>
      <c r="I8" s="20" t="n">
        <f aca="false">D8+2*Parametros!$C$10</f>
        <v>1911.06</v>
      </c>
      <c r="J8" s="20" t="n">
        <f aca="false">E8+2*Parametros!$C$10</f>
        <v>2277.06</v>
      </c>
    </row>
    <row r="9" customFormat="false" ht="15" hidden="false" customHeight="false" outlineLevel="0" collapsed="false">
      <c r="A9" s="19" t="n">
        <v>4</v>
      </c>
      <c r="B9" s="20" t="n">
        <f aca="false">2*Parametros!$C$6+(A9-1)*Parametros!$C$7+A9*(Parametros!$B$26-Parametros!$C$13)</f>
        <v>1362.32</v>
      </c>
      <c r="C9" s="20" t="n">
        <f aca="false">2*Parametros!$C$6+(A9-1)*Parametros!$C$7+A9*(Parametros!$B$27-Parametros!$C$13)</f>
        <v>1762.32</v>
      </c>
      <c r="D9" s="20" t="n">
        <f aca="false">2*Parametros!$C$6+(A9-1)*Parametros!$C$7+A9*(Parametros!$B$28-Parametros!$C$13)</f>
        <v>2482.32</v>
      </c>
      <c r="E9" s="20" t="n">
        <f aca="false">2*Parametros!$C$6+(A9-1)*Parametros!$C$7+A9*(Parametros!$B$29-Parametros!$C$13)</f>
        <v>2970.32</v>
      </c>
      <c r="F9" s="2"/>
      <c r="G9" s="20" t="n">
        <f aca="false">B9+2*Parametros!$C$10</f>
        <v>1406.16</v>
      </c>
      <c r="H9" s="20" t="n">
        <f aca="false">C9+2*Parametros!$C$10</f>
        <v>1806.16</v>
      </c>
      <c r="I9" s="20" t="n">
        <f aca="false">D9+2*Parametros!$C$10</f>
        <v>2526.16</v>
      </c>
      <c r="J9" s="20" t="n">
        <f aca="false">E9+2*Parametros!$C$10</f>
        <v>3014.16</v>
      </c>
    </row>
    <row r="10" customFormat="false" ht="15" hidden="false" customHeight="false" outlineLevel="0" collapsed="false">
      <c r="A10" s="19" t="n">
        <v>5</v>
      </c>
      <c r="B10" s="20" t="n">
        <f aca="false">2*Parametros!$C$6+(A10-1)*Parametros!$C$7+A10*(Parametros!$B$26-Parametros!$C$13)</f>
        <v>1697.42</v>
      </c>
      <c r="C10" s="20" t="n">
        <f aca="false">2*Parametros!$C$6+(A10-1)*Parametros!$C$7+A10*(Parametros!$B$27-Parametros!$C$13)</f>
        <v>2197.42</v>
      </c>
      <c r="D10" s="20" t="n">
        <f aca="false">2*Parametros!$C$6+(A10-1)*Parametros!$C$7+A10*(Parametros!$B$28-Parametros!$C$13)</f>
        <v>3097.42</v>
      </c>
      <c r="E10" s="20" t="n">
        <f aca="false">2*Parametros!$C$6+(A10-1)*Parametros!$C$7+A10*(Parametros!$B$29-Parametros!$C$13)</f>
        <v>3707.42</v>
      </c>
      <c r="F10" s="2"/>
      <c r="G10" s="20" t="n">
        <f aca="false">B10+2*Parametros!$C$10</f>
        <v>1741.26</v>
      </c>
      <c r="H10" s="20" t="n">
        <f aca="false">C10+2*Parametros!$C$10</f>
        <v>2241.26</v>
      </c>
      <c r="I10" s="20" t="n">
        <f aca="false">D10+2*Parametros!$C$10</f>
        <v>3141.26</v>
      </c>
      <c r="J10" s="20" t="n">
        <f aca="false">E10+2*Parametros!$C$10</f>
        <v>3751.26</v>
      </c>
    </row>
    <row r="11" customFormat="false" ht="15" hidden="false" customHeight="false" outlineLevel="0" collapsed="false">
      <c r="A11" s="19" t="n">
        <v>6</v>
      </c>
      <c r="B11" s="20" t="n">
        <f aca="false">2*Parametros!$C$6+(A11-1)*Parametros!$C$7+A11*(Parametros!$B$26-Parametros!$C$13)</f>
        <v>2032.52</v>
      </c>
      <c r="C11" s="20" t="n">
        <f aca="false">2*Parametros!$C$6+(A11-1)*Parametros!$C$7+A11*(Parametros!$B$27-Parametros!$C$13)</f>
        <v>2632.52</v>
      </c>
      <c r="D11" s="20" t="n">
        <f aca="false">2*Parametros!$C$6+(A11-1)*Parametros!$C$7+A11*(Parametros!$B$28-Parametros!$C$13)</f>
        <v>3712.52</v>
      </c>
      <c r="E11" s="20" t="n">
        <f aca="false">2*Parametros!$C$6+(A11-1)*Parametros!$C$7+A11*(Parametros!$B$29-Parametros!$C$13)</f>
        <v>4444.52</v>
      </c>
      <c r="F11" s="2"/>
      <c r="G11" s="20" t="n">
        <f aca="false">B11+2*Parametros!$C$10</f>
        <v>2076.36</v>
      </c>
      <c r="H11" s="20" t="n">
        <f aca="false">C11+2*Parametros!$C$10</f>
        <v>2676.36</v>
      </c>
      <c r="I11" s="20" t="n">
        <f aca="false">D11+2*Parametros!$C$10</f>
        <v>3756.36</v>
      </c>
      <c r="J11" s="20" t="n">
        <f aca="false">E11+2*Parametros!$C$10</f>
        <v>4488.36</v>
      </c>
    </row>
    <row r="12" customFormat="false" ht="15" hidden="false" customHeight="false" outlineLevel="0" collapsed="false">
      <c r="A12" s="19" t="n">
        <v>7</v>
      </c>
      <c r="B12" s="20" t="n">
        <f aca="false">2*Parametros!$C$6+(A12-1)*Parametros!$C$7+A12*(Parametros!$B$26-Parametros!$C$13)</f>
        <v>2367.62</v>
      </c>
      <c r="C12" s="20" t="n">
        <f aca="false">2*Parametros!$C$6+(A12-1)*Parametros!$C$7+A12*(Parametros!$B$27-Parametros!$C$13)</f>
        <v>3067.62</v>
      </c>
      <c r="D12" s="20" t="n">
        <f aca="false">2*Parametros!$C$6+(A12-1)*Parametros!$C$7+A12*(Parametros!$B$28-Parametros!$C$13)</f>
        <v>4327.62</v>
      </c>
      <c r="E12" s="20" t="n">
        <f aca="false">2*Parametros!$C$6+(A12-1)*Parametros!$C$7+A12*(Parametros!$B$29-Parametros!$C$13)</f>
        <v>5181.62</v>
      </c>
      <c r="F12" s="2"/>
      <c r="G12" s="20" t="n">
        <f aca="false">B12+2*Parametros!$C$10</f>
        <v>2411.46</v>
      </c>
      <c r="H12" s="20" t="n">
        <f aca="false">C12+2*Parametros!$C$10</f>
        <v>3111.46</v>
      </c>
      <c r="I12" s="20" t="n">
        <f aca="false">D12+2*Parametros!$C$10</f>
        <v>4371.46</v>
      </c>
      <c r="J12" s="20" t="n">
        <f aca="false">E12+2*Parametros!$C$10</f>
        <v>5225.46</v>
      </c>
    </row>
    <row r="13" customFormat="false" ht="15" hidden="false" customHeight="false" outlineLevel="0" collapsed="false">
      <c r="A13" s="19" t="n">
        <v>8</v>
      </c>
      <c r="B13" s="20" t="n">
        <f aca="false">2*Parametros!$C$6+(A13-1)*Parametros!$C$7+A13*(Parametros!$B$26-Parametros!$C$13)</f>
        <v>2702.72</v>
      </c>
      <c r="C13" s="20" t="n">
        <f aca="false">2*Parametros!$C$6+(A13-1)*Parametros!$C$7+A13*(Parametros!$B$27-Parametros!$C$13)</f>
        <v>3502.72</v>
      </c>
      <c r="D13" s="20" t="n">
        <f aca="false">2*Parametros!$C$6+(A13-1)*Parametros!$C$7+A13*(Parametros!$B$28-Parametros!$C$13)</f>
        <v>4942.72</v>
      </c>
      <c r="E13" s="20" t="n">
        <f aca="false">2*Parametros!$C$6+(A13-1)*Parametros!$C$7+A13*(Parametros!$B$29-Parametros!$C$13)</f>
        <v>5918.72</v>
      </c>
      <c r="F13" s="2"/>
      <c r="G13" s="20" t="n">
        <f aca="false">B13+2*Parametros!$C$10</f>
        <v>2746.56</v>
      </c>
      <c r="H13" s="20" t="n">
        <f aca="false">C13+2*Parametros!$C$10</f>
        <v>3546.56</v>
      </c>
      <c r="I13" s="20" t="n">
        <f aca="false">D13+2*Parametros!$C$10</f>
        <v>4986.56</v>
      </c>
      <c r="J13" s="20" t="n">
        <f aca="false">E13+2*Parametros!$C$10</f>
        <v>5962.56</v>
      </c>
    </row>
    <row r="14" customFormat="false" ht="15" hidden="false" customHeight="false" outlineLevel="0" collapsed="false">
      <c r="A14" s="19" t="n">
        <v>9</v>
      </c>
      <c r="B14" s="20" t="n">
        <f aca="false">2*Parametros!$C$6+(A14-1)*Parametros!$C$7+A14*(Parametros!$B$26-Parametros!$C$13)</f>
        <v>3037.82</v>
      </c>
      <c r="C14" s="20" t="n">
        <f aca="false">2*Parametros!$C$6+(A14-1)*Parametros!$C$7+A14*(Parametros!$B$27-Parametros!$C$13)</f>
        <v>3937.82</v>
      </c>
      <c r="D14" s="20" t="n">
        <f aca="false">2*Parametros!$C$6+(A14-1)*Parametros!$C$7+A14*(Parametros!$B$28-Parametros!$C$13)</f>
        <v>5557.82</v>
      </c>
      <c r="E14" s="20" t="n">
        <f aca="false">2*Parametros!$C$6+(A14-1)*Parametros!$C$7+A14*(Parametros!$B$29-Parametros!$C$13)</f>
        <v>6655.82</v>
      </c>
      <c r="F14" s="2"/>
      <c r="G14" s="20" t="n">
        <f aca="false">B14+2*Parametros!$C$10</f>
        <v>3081.66</v>
      </c>
      <c r="H14" s="20" t="n">
        <f aca="false">C14+2*Parametros!$C$10</f>
        <v>3981.66</v>
      </c>
      <c r="I14" s="20" t="n">
        <f aca="false">D14+2*Parametros!$C$10</f>
        <v>5601.66</v>
      </c>
      <c r="J14" s="20" t="n">
        <f aca="false">E14+2*Parametros!$C$10</f>
        <v>6699.66</v>
      </c>
    </row>
    <row r="15" customFormat="false" ht="15" hidden="false" customHeight="false" outlineLevel="0" collapsed="false">
      <c r="A15" s="19" t="n">
        <v>10</v>
      </c>
      <c r="B15" s="20" t="n">
        <f aca="false">2*Parametros!$C$6+(A15-1)*Parametros!$C$7+A15*(Parametros!$B$26-Parametros!$C$13)</f>
        <v>3372.92</v>
      </c>
      <c r="C15" s="20" t="n">
        <f aca="false">2*Parametros!$C$6+(A15-1)*Parametros!$C$7+A15*(Parametros!$B$27-Parametros!$C$13)</f>
        <v>4372.92</v>
      </c>
      <c r="D15" s="20" t="n">
        <f aca="false">2*Parametros!$C$6+(A15-1)*Parametros!$C$7+A15*(Parametros!$B$28-Parametros!$C$13)</f>
        <v>6172.92</v>
      </c>
      <c r="E15" s="20" t="n">
        <f aca="false">2*Parametros!$C$6+(A15-1)*Parametros!$C$7+A15*(Parametros!$B$29-Parametros!$C$13)</f>
        <v>7392.92</v>
      </c>
      <c r="F15" s="2"/>
      <c r="G15" s="20" t="n">
        <f aca="false">B15+2*Parametros!$C$10</f>
        <v>3416.76</v>
      </c>
      <c r="H15" s="20" t="n">
        <f aca="false">C15+2*Parametros!$C$10</f>
        <v>4416.76</v>
      </c>
      <c r="I15" s="20" t="n">
        <f aca="false">D15+2*Parametros!$C$10</f>
        <v>6216.76</v>
      </c>
      <c r="J15" s="20" t="n">
        <f aca="false">E15+2*Parametros!$C$10</f>
        <v>7436.76</v>
      </c>
    </row>
    <row r="16" customFormat="false" ht="15" hidden="false" customHeight="false" outlineLevel="0" collapsed="false">
      <c r="A16" s="19" t="n">
        <v>11</v>
      </c>
      <c r="B16" s="20" t="n">
        <f aca="false">2*Parametros!$C$6+(A16-1)*Parametros!$C$7+A16*(Parametros!$B$26-Parametros!$C$13)</f>
        <v>3708.02</v>
      </c>
      <c r="C16" s="20" t="n">
        <f aca="false">2*Parametros!$C$6+(A16-1)*Parametros!$C$7+A16*(Parametros!$B$27-Parametros!$C$13)</f>
        <v>4808.02</v>
      </c>
      <c r="D16" s="20" t="n">
        <f aca="false">2*Parametros!$C$6+(A16-1)*Parametros!$C$7+A16*(Parametros!$B$28-Parametros!$C$13)</f>
        <v>6788.02</v>
      </c>
      <c r="E16" s="20" t="n">
        <f aca="false">2*Parametros!$C$6+(A16-1)*Parametros!$C$7+A16*(Parametros!$B$29-Parametros!$C$13)</f>
        <v>8130.02</v>
      </c>
      <c r="F16" s="2"/>
      <c r="G16" s="20" t="n">
        <f aca="false">B16+2*Parametros!$C$10</f>
        <v>3751.86</v>
      </c>
      <c r="H16" s="20" t="n">
        <f aca="false">C16+2*Parametros!$C$10</f>
        <v>4851.86</v>
      </c>
      <c r="I16" s="20" t="n">
        <f aca="false">D16+2*Parametros!$C$10</f>
        <v>6831.86</v>
      </c>
      <c r="J16" s="20" t="n">
        <f aca="false">E16+2*Parametros!$C$10</f>
        <v>8173.86</v>
      </c>
    </row>
    <row r="17" customFormat="false" ht="15" hidden="false" customHeight="false" outlineLevel="0" collapsed="false">
      <c r="A17" s="19" t="n">
        <v>12</v>
      </c>
      <c r="B17" s="20" t="n">
        <f aca="false">2*Parametros!$C$6+(A17-1)*Parametros!$C$7+A17*(Parametros!$B$26-Parametros!$C$13)</f>
        <v>4043.12</v>
      </c>
      <c r="C17" s="20" t="n">
        <f aca="false">2*Parametros!$C$6+(A17-1)*Parametros!$C$7+A17*(Parametros!$B$27-Parametros!$C$13)</f>
        <v>5243.12</v>
      </c>
      <c r="D17" s="20" t="n">
        <f aca="false">2*Parametros!$C$6+(A17-1)*Parametros!$C$7+A17*(Parametros!$B$28-Parametros!$C$13)</f>
        <v>7403.12</v>
      </c>
      <c r="E17" s="20" t="n">
        <f aca="false">2*Parametros!$C$6+(A17-1)*Parametros!$C$7+A17*(Parametros!$B$29-Parametros!$C$13)</f>
        <v>8867.12</v>
      </c>
      <c r="F17" s="2"/>
      <c r="G17" s="20" t="n">
        <f aca="false">B17+2*Parametros!$C$10</f>
        <v>4086.96</v>
      </c>
      <c r="H17" s="20" t="n">
        <f aca="false">C17+2*Parametros!$C$10</f>
        <v>5286.96</v>
      </c>
      <c r="I17" s="20" t="n">
        <f aca="false">D17+2*Parametros!$C$10</f>
        <v>7446.96</v>
      </c>
      <c r="J17" s="20" t="n">
        <f aca="false">E17+2*Parametros!$C$10</f>
        <v>8910.96</v>
      </c>
    </row>
    <row r="18" customFormat="false" ht="15" hidden="false" customHeight="false" outlineLevel="0" collapsed="false">
      <c r="A18" s="19" t="n">
        <v>13</v>
      </c>
      <c r="B18" s="20" t="n">
        <f aca="false">2*Parametros!$C$6+(A18-1)*Parametros!$C$7+A18*(Parametros!$B$26-Parametros!$C$13)</f>
        <v>4378.22</v>
      </c>
      <c r="C18" s="20" t="n">
        <f aca="false">2*Parametros!$C$6+(A18-1)*Parametros!$C$7+A18*(Parametros!$B$27-Parametros!$C$13)</f>
        <v>5678.22</v>
      </c>
      <c r="D18" s="20" t="n">
        <f aca="false">2*Parametros!$C$6+(A18-1)*Parametros!$C$7+A18*(Parametros!$B$28-Parametros!$C$13)</f>
        <v>8018.22</v>
      </c>
      <c r="E18" s="20" t="n">
        <f aca="false">2*Parametros!$C$6+(A18-1)*Parametros!$C$7+A18*(Parametros!$B$29-Parametros!$C$13)</f>
        <v>9604.22</v>
      </c>
      <c r="F18" s="2"/>
      <c r="G18" s="20" t="n">
        <f aca="false">B18+2*Parametros!$C$10</f>
        <v>4422.06</v>
      </c>
      <c r="H18" s="20" t="n">
        <f aca="false">C18+2*Parametros!$C$10</f>
        <v>5722.06</v>
      </c>
      <c r="I18" s="20" t="n">
        <f aca="false">D18+2*Parametros!$C$10</f>
        <v>8062.06</v>
      </c>
      <c r="J18" s="20" t="n">
        <f aca="false">E18+2*Parametros!$C$10</f>
        <v>9648.06</v>
      </c>
    </row>
    <row r="19" customFormat="false" ht="15" hidden="false" customHeight="false" outlineLevel="0" collapsed="false">
      <c r="A19" s="19" t="n">
        <v>14</v>
      </c>
      <c r="B19" s="20" t="n">
        <f aca="false">2*Parametros!$C$6+(A19-1)*Parametros!$C$7+A19*(Parametros!$B$26-Parametros!$C$13)</f>
        <v>4713.32</v>
      </c>
      <c r="C19" s="20" t="n">
        <f aca="false">2*Parametros!$C$6+(A19-1)*Parametros!$C$7+A19*(Parametros!$B$27-Parametros!$C$13)</f>
        <v>6113.32</v>
      </c>
      <c r="D19" s="20" t="n">
        <f aca="false">2*Parametros!$C$6+(A19-1)*Parametros!$C$7+A19*(Parametros!$B$28-Parametros!$C$13)</f>
        <v>8633.32</v>
      </c>
      <c r="E19" s="20" t="n">
        <f aca="false">2*Parametros!$C$6+(A19-1)*Parametros!$C$7+A19*(Parametros!$B$29-Parametros!$C$13)</f>
        <v>10341.32</v>
      </c>
      <c r="F19" s="2"/>
      <c r="G19" s="20" t="n">
        <f aca="false">B19+2*Parametros!$C$10</f>
        <v>4757.16</v>
      </c>
      <c r="H19" s="20" t="n">
        <f aca="false">C19+2*Parametros!$C$10</f>
        <v>6157.16</v>
      </c>
      <c r="I19" s="20" t="n">
        <f aca="false">D19+2*Parametros!$C$10</f>
        <v>8677.16</v>
      </c>
      <c r="J19" s="20" t="n">
        <f aca="false">E19+2*Parametros!$C$10</f>
        <v>10385.16</v>
      </c>
    </row>
    <row r="20" customFormat="false" ht="15" hidden="false" customHeight="false" outlineLevel="0" collapsed="false">
      <c r="A20" s="19" t="n">
        <v>15</v>
      </c>
      <c r="B20" s="20" t="n">
        <f aca="false">2*Parametros!$C$6+(A20-1)*Parametros!$C$7+A20*(Parametros!$B$26-Parametros!$C$13)</f>
        <v>5048.42</v>
      </c>
      <c r="C20" s="20" t="n">
        <f aca="false">2*Parametros!$C$6+(A20-1)*Parametros!$C$7+A20*(Parametros!$B$27-Parametros!$C$13)</f>
        <v>6548.42</v>
      </c>
      <c r="D20" s="20" t="n">
        <f aca="false">2*Parametros!$C$6+(A20-1)*Parametros!$C$7+A20*(Parametros!$B$28-Parametros!$C$13)</f>
        <v>9248.42</v>
      </c>
      <c r="E20" s="20" t="n">
        <f aca="false">2*Parametros!$C$6+(A20-1)*Parametros!$C$7+A20*(Parametros!$B$29-Parametros!$C$13)</f>
        <v>11078.42</v>
      </c>
      <c r="F20" s="2"/>
      <c r="G20" s="20" t="n">
        <f aca="false">B20+2*Parametros!$C$10</f>
        <v>5092.26</v>
      </c>
      <c r="H20" s="20" t="n">
        <f aca="false">C20+2*Parametros!$C$10</f>
        <v>6592.26</v>
      </c>
      <c r="I20" s="20" t="n">
        <f aca="false">D20+2*Parametros!$C$10</f>
        <v>9292.26</v>
      </c>
      <c r="J20" s="20" t="n">
        <f aca="false">E20+2*Parametros!$C$10</f>
        <v>11122.26</v>
      </c>
    </row>
    <row r="21" customFormat="false" ht="15" hidden="false" customHeight="false" outlineLevel="0" collapsed="false">
      <c r="A21" s="19" t="n">
        <v>16</v>
      </c>
      <c r="B21" s="20" t="n">
        <f aca="false">2*Parametros!$C$6+(A21-1)*Parametros!$C$7+A21*(Parametros!$B$26-Parametros!$C$13)</f>
        <v>5383.52</v>
      </c>
      <c r="C21" s="20" t="n">
        <f aca="false">2*Parametros!$C$6+(A21-1)*Parametros!$C$7+A21*(Parametros!$B$27-Parametros!$C$13)</f>
        <v>6983.52</v>
      </c>
      <c r="D21" s="20" t="n">
        <f aca="false">2*Parametros!$C$6+(A21-1)*Parametros!$C$7+A21*(Parametros!$B$28-Parametros!$C$13)</f>
        <v>9863.52</v>
      </c>
      <c r="E21" s="20" t="n">
        <f aca="false">2*Parametros!$C$6+(A21-1)*Parametros!$C$7+A21*(Parametros!$B$29-Parametros!$C$13)</f>
        <v>11815.52</v>
      </c>
      <c r="F21" s="2"/>
      <c r="G21" s="20" t="n">
        <f aca="false">B21+2*Parametros!$C$10</f>
        <v>5427.36</v>
      </c>
      <c r="H21" s="20" t="n">
        <f aca="false">C21+2*Parametros!$C$10</f>
        <v>7027.36</v>
      </c>
      <c r="I21" s="20" t="n">
        <f aca="false">D21+2*Parametros!$C$10</f>
        <v>9907.36</v>
      </c>
      <c r="J21" s="20" t="n">
        <f aca="false">E21+2*Parametros!$C$10</f>
        <v>11859.36</v>
      </c>
    </row>
    <row r="22" customFormat="false" ht="15" hidden="false" customHeight="false" outlineLevel="0" collapsed="false">
      <c r="A22" s="19" t="n">
        <v>17</v>
      </c>
      <c r="B22" s="20" t="n">
        <f aca="false">2*Parametros!$C$6+(A22-1)*Parametros!$C$7+A22*(Parametros!$B$26-Parametros!$C$13)</f>
        <v>5718.62</v>
      </c>
      <c r="C22" s="20" t="n">
        <f aca="false">2*Parametros!$C$6+(A22-1)*Parametros!$C$7+A22*(Parametros!$B$27-Parametros!$C$13)</f>
        <v>7418.62</v>
      </c>
      <c r="D22" s="20" t="n">
        <f aca="false">2*Parametros!$C$6+(A22-1)*Parametros!$C$7+A22*(Parametros!$B$28-Parametros!$C$13)</f>
        <v>10478.62</v>
      </c>
      <c r="E22" s="20" t="n">
        <f aca="false">2*Parametros!$C$6+(A22-1)*Parametros!$C$7+A22*(Parametros!$B$29-Parametros!$C$13)</f>
        <v>12552.62</v>
      </c>
      <c r="F22" s="2"/>
      <c r="G22" s="20" t="n">
        <f aca="false">B22+2*Parametros!$C$10</f>
        <v>5762.46</v>
      </c>
      <c r="H22" s="20" t="n">
        <f aca="false">C22+2*Parametros!$C$10</f>
        <v>7462.46</v>
      </c>
      <c r="I22" s="20" t="n">
        <f aca="false">D22+2*Parametros!$C$10</f>
        <v>10522.46</v>
      </c>
      <c r="J22" s="20" t="n">
        <f aca="false">E22+2*Parametros!$C$10</f>
        <v>12596.46</v>
      </c>
    </row>
    <row r="23" customFormat="false" ht="15" hidden="false" customHeight="false" outlineLevel="0" collapsed="false">
      <c r="A23" s="19" t="n">
        <v>18</v>
      </c>
      <c r="B23" s="20" t="n">
        <f aca="false">2*Parametros!$C$6+(A23-1)*Parametros!$C$7+A23*(Parametros!$B$26-Parametros!$C$13)</f>
        <v>6053.72</v>
      </c>
      <c r="C23" s="20" t="n">
        <f aca="false">2*Parametros!$C$6+(A23-1)*Parametros!$C$7+A23*(Parametros!$B$27-Parametros!$C$13)</f>
        <v>7853.72</v>
      </c>
      <c r="D23" s="20" t="n">
        <f aca="false">2*Parametros!$C$6+(A23-1)*Parametros!$C$7+A23*(Parametros!$B$28-Parametros!$C$13)</f>
        <v>11093.72</v>
      </c>
      <c r="E23" s="20" t="n">
        <f aca="false">2*Parametros!$C$6+(A23-1)*Parametros!$C$7+A23*(Parametros!$B$29-Parametros!$C$13)</f>
        <v>13289.72</v>
      </c>
      <c r="F23" s="2"/>
      <c r="G23" s="20" t="n">
        <f aca="false">B23+2*Parametros!$C$10</f>
        <v>6097.56</v>
      </c>
      <c r="H23" s="20" t="n">
        <f aca="false">C23+2*Parametros!$C$10</f>
        <v>7897.56</v>
      </c>
      <c r="I23" s="20" t="n">
        <f aca="false">D23+2*Parametros!$C$10</f>
        <v>11137.56</v>
      </c>
      <c r="J23" s="20" t="n">
        <f aca="false">E23+2*Parametros!$C$10</f>
        <v>13333.56</v>
      </c>
    </row>
    <row r="24" customFormat="false" ht="15" hidden="false" customHeight="false" outlineLevel="0" collapsed="false">
      <c r="A24" s="19" t="n">
        <v>19</v>
      </c>
      <c r="B24" s="20" t="n">
        <f aca="false">2*Parametros!$C$6+(A24-1)*Parametros!$C$7+A24*(Parametros!$B$26-Parametros!$C$13)</f>
        <v>6388.82</v>
      </c>
      <c r="C24" s="20" t="n">
        <f aca="false">2*Parametros!$C$6+(A24-1)*Parametros!$C$7+A24*(Parametros!$B$27-Parametros!$C$13)</f>
        <v>8288.82</v>
      </c>
      <c r="D24" s="20" t="n">
        <f aca="false">2*Parametros!$C$6+(A24-1)*Parametros!$C$7+A24*(Parametros!$B$28-Parametros!$C$13)</f>
        <v>11708.82</v>
      </c>
      <c r="E24" s="20" t="n">
        <f aca="false">2*Parametros!$C$6+(A24-1)*Parametros!$C$7+A24*(Parametros!$B$29-Parametros!$C$13)</f>
        <v>14026.82</v>
      </c>
      <c r="F24" s="2"/>
      <c r="G24" s="20" t="n">
        <f aca="false">B24+2*Parametros!$C$10</f>
        <v>6432.66</v>
      </c>
      <c r="H24" s="20" t="n">
        <f aca="false">C24+2*Parametros!$C$10</f>
        <v>8332.66</v>
      </c>
      <c r="I24" s="20" t="n">
        <f aca="false">D24+2*Parametros!$C$10</f>
        <v>11752.66</v>
      </c>
      <c r="J24" s="20" t="n">
        <f aca="false">E24+2*Parametros!$C$10</f>
        <v>14070.66</v>
      </c>
    </row>
    <row r="25" customFormat="false" ht="15" hidden="false" customHeight="false" outlineLevel="0" collapsed="false">
      <c r="A25" s="19" t="n">
        <v>20</v>
      </c>
      <c r="B25" s="20" t="n">
        <f aca="false">2*Parametros!$C$6+(A25-1)*Parametros!$C$7+A25*(Parametros!$B$26-Parametros!$C$13)</f>
        <v>6723.92</v>
      </c>
      <c r="C25" s="20" t="n">
        <f aca="false">2*Parametros!$C$6+(A25-1)*Parametros!$C$7+A25*(Parametros!$B$27-Parametros!$C$13)</f>
        <v>8723.92</v>
      </c>
      <c r="D25" s="20" t="n">
        <f aca="false">2*Parametros!$C$6+(A25-1)*Parametros!$C$7+A25*(Parametros!$B$28-Parametros!$C$13)</f>
        <v>12323.92</v>
      </c>
      <c r="E25" s="20" t="n">
        <f aca="false">2*Parametros!$C$6+(A25-1)*Parametros!$C$7+A25*(Parametros!$B$29-Parametros!$C$13)</f>
        <v>14763.92</v>
      </c>
      <c r="F25" s="2"/>
      <c r="G25" s="20" t="n">
        <f aca="false">B25+2*Parametros!$C$10</f>
        <v>6767.76</v>
      </c>
      <c r="H25" s="20" t="n">
        <f aca="false">C25+2*Parametros!$C$10</f>
        <v>8767.76</v>
      </c>
      <c r="I25" s="20" t="n">
        <f aca="false">D25+2*Parametros!$C$10</f>
        <v>12367.76</v>
      </c>
      <c r="J25" s="20" t="n">
        <f aca="false">E25+2*Parametros!$C$10</f>
        <v>14807.76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8" t="s">
        <v>99</v>
      </c>
      <c r="B27" s="2"/>
      <c r="C27" s="2"/>
      <c r="D27" s="2"/>
      <c r="E27" s="2"/>
      <c r="F27" s="2"/>
      <c r="G27" s="2"/>
      <c r="H27" s="2"/>
      <c r="I27" s="2"/>
      <c r="J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100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8" t="s">
        <v>101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9" t="s">
        <v>102</v>
      </c>
      <c r="B4" s="9" t="s">
        <v>103</v>
      </c>
      <c r="C4" s="9" t="s">
        <v>104</v>
      </c>
      <c r="D4" s="9" t="s">
        <v>68</v>
      </c>
      <c r="E4" s="9" t="s">
        <v>105</v>
      </c>
      <c r="F4" s="9" t="s">
        <v>106</v>
      </c>
    </row>
    <row r="5" customFormat="false" ht="15" hidden="false" customHeight="false" outlineLevel="0" collapsed="false">
      <c r="A5" s="10" t="s">
        <v>69</v>
      </c>
      <c r="B5" s="21" t="n">
        <f aca="false">Parametros!$B$20</f>
        <v>200</v>
      </c>
      <c r="C5" s="22" t="n">
        <f aca="false">B5+2*(Parametros!$C$8-Parametros!$C$5)</f>
        <v>285.26</v>
      </c>
      <c r="D5" s="21" t="n">
        <f aca="false">Parametros!$C$20</f>
        <v>200</v>
      </c>
      <c r="E5" s="20" t="n">
        <f aca="false">(D5-B5)/2</f>
        <v>0</v>
      </c>
      <c r="F5" s="20" t="n">
        <f aca="false">D5-C5</f>
        <v>-85.26</v>
      </c>
    </row>
    <row r="6" customFormat="false" ht="15" hidden="false" customHeight="false" outlineLevel="0" collapsed="false">
      <c r="A6" s="10" t="s">
        <v>70</v>
      </c>
      <c r="B6" s="21" t="n">
        <f aca="false">Parametros!$B$21</f>
        <v>287</v>
      </c>
      <c r="C6" s="22" t="n">
        <f aca="false">B6+2*(Parametros!$C$8-Parametros!$C$5)</f>
        <v>372.26</v>
      </c>
      <c r="D6" s="21" t="n">
        <f aca="false">Parametros!$C$21</f>
        <v>300</v>
      </c>
      <c r="E6" s="20" t="n">
        <f aca="false">(D6-B6)/2</f>
        <v>6.5</v>
      </c>
      <c r="F6" s="20" t="n">
        <f aca="false">D6-C6</f>
        <v>-72.26</v>
      </c>
    </row>
    <row r="7" customFormat="false" ht="15" hidden="false" customHeight="false" outlineLevel="0" collapsed="false">
      <c r="A7" s="10" t="s">
        <v>71</v>
      </c>
      <c r="B7" s="21" t="n">
        <f aca="false">Parametros!$B$22</f>
        <v>415</v>
      </c>
      <c r="C7" s="22" t="n">
        <f aca="false">B7+2*(Parametros!$C$8-Parametros!$C$5)</f>
        <v>500.26</v>
      </c>
      <c r="D7" s="21" t="n">
        <f aca="false">Parametros!$C$22</f>
        <v>460</v>
      </c>
      <c r="E7" s="20" t="n">
        <f aca="false">(D7-B7)/2</f>
        <v>22.5</v>
      </c>
      <c r="F7" s="20" t="n">
        <f aca="false">D7-C7</f>
        <v>-40.26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8" t="s">
        <v>107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8" t="s">
        <v>108</v>
      </c>
      <c r="B10" s="2"/>
      <c r="C10" s="2"/>
      <c r="D10" s="2"/>
      <c r="E10" s="2"/>
      <c r="F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0"/>
  </cols>
  <sheetData>
    <row r="1" customFormat="false" ht="17.35" hidden="false" customHeight="false" outlineLevel="0" collapsed="false">
      <c r="A1" s="1" t="s">
        <v>109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8" t="s">
        <v>110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5" t="s">
        <v>111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9" t="s">
        <v>112</v>
      </c>
      <c r="B5" s="9" t="s">
        <v>113</v>
      </c>
      <c r="C5" s="9" t="s">
        <v>114</v>
      </c>
      <c r="D5" s="9" t="s">
        <v>115</v>
      </c>
      <c r="E5" s="9" t="s">
        <v>116</v>
      </c>
      <c r="F5" s="9" t="s">
        <v>117</v>
      </c>
    </row>
    <row r="6" customFormat="false" ht="15" hidden="false" customHeight="false" outlineLevel="0" collapsed="false">
      <c r="A6" s="19" t="n">
        <v>0</v>
      </c>
      <c r="B6" s="23" t="str">
        <f aca="false">IF($A6+B$5=0,"",Parametros!$C$11+($A6+B$5+1)*Parametros!$C$9+$A6*(Parametros!$B$33-Parametros!$C$13)+B$5*(Parametros!$B$34-Parametros!$C$13))</f>
        <v/>
      </c>
      <c r="C6" s="23" t="n">
        <f aca="false">IF($A6+C$5=0,"",Parametros!$C$11+($A6+C$5+1)*Parametros!$C$9+$A6*(Parametros!$B$33-Parametros!$C$13)+C$5*(Parametros!$B$34-Parametros!$C$13))</f>
        <v>597.36</v>
      </c>
      <c r="D6" s="23" t="n">
        <f aca="false">IF($A6+D$5=0,"",Parametros!$C$11+($A6+D$5+1)*Parametros!$C$9+$A6*(Parametros!$B$33-Parametros!$C$13)+D$5*(Parametros!$B$34-Parametros!$C$13))</f>
        <v>1102.24</v>
      </c>
      <c r="E6" s="23" t="n">
        <f aca="false">IF($A6+E$5=0,"",Parametros!$C$11+($A6+E$5+1)*Parametros!$C$9+$A6*(Parametros!$B$33-Parametros!$C$13)+E$5*(Parametros!$B$34-Parametros!$C$13))</f>
        <v>1607.12</v>
      </c>
      <c r="F6" s="23" t="n">
        <f aca="false">IF($A6+F$5=0,"",Parametros!$C$11+($A6+F$5+1)*Parametros!$C$9+$A6*(Parametros!$B$33-Parametros!$C$13)+F$5*(Parametros!$B$34-Parametros!$C$13))</f>
        <v>2112</v>
      </c>
    </row>
    <row r="7" customFormat="false" ht="15" hidden="false" customHeight="false" outlineLevel="0" collapsed="false">
      <c r="A7" s="19" t="n">
        <v>1</v>
      </c>
      <c r="B7" s="23" t="n">
        <f aca="false">IF($A7+B$5=0,"",Parametros!$C$11+($A7+B$5+1)*Parametros!$C$9+$A7*(Parametros!$B$33-Parametros!$C$13)+B$5*(Parametros!$B$34-Parametros!$C$13))</f>
        <v>354.36</v>
      </c>
      <c r="C7" s="23" t="n">
        <f aca="false">IF($A7+C$5=0,"",Parametros!$C$11+($A7+C$5+1)*Parametros!$C$9+$A7*(Parametros!$B$33-Parametros!$C$13)+C$5*(Parametros!$B$34-Parametros!$C$13))</f>
        <v>859.24</v>
      </c>
      <c r="D7" s="23" t="n">
        <f aca="false">IF($A7+D$5=0,"",Parametros!$C$11+($A7+D$5+1)*Parametros!$C$9+$A7*(Parametros!$B$33-Parametros!$C$13)+D$5*(Parametros!$B$34-Parametros!$C$13))</f>
        <v>1364.12</v>
      </c>
      <c r="E7" s="23" t="n">
        <f aca="false">IF($A7+E$5=0,"",Parametros!$C$11+($A7+E$5+1)*Parametros!$C$9+$A7*(Parametros!$B$33-Parametros!$C$13)+E$5*(Parametros!$B$34-Parametros!$C$13))</f>
        <v>1869</v>
      </c>
      <c r="F7" s="23" t="n">
        <f aca="false">IF($A7+F$5=0,"",Parametros!$C$11+($A7+F$5+1)*Parametros!$C$9+$A7*(Parametros!$B$33-Parametros!$C$13)+F$5*(Parametros!$B$34-Parametros!$C$13))</f>
        <v>2373.88</v>
      </c>
    </row>
    <row r="8" customFormat="false" ht="15" hidden="false" customHeight="false" outlineLevel="0" collapsed="false">
      <c r="A8" s="19" t="n">
        <v>2</v>
      </c>
      <c r="B8" s="23" t="n">
        <f aca="false">IF($A8+B$5=0,"",Parametros!$C$11+($A8+B$5+1)*Parametros!$C$9+$A8*(Parametros!$B$33-Parametros!$C$13)+B$5*(Parametros!$B$34-Parametros!$C$13))</f>
        <v>616.24</v>
      </c>
      <c r="C8" s="23" t="n">
        <f aca="false">IF($A8+C$5=0,"",Parametros!$C$11+($A8+C$5+1)*Parametros!$C$9+$A8*(Parametros!$B$33-Parametros!$C$13)+C$5*(Parametros!$B$34-Parametros!$C$13))</f>
        <v>1121.12</v>
      </c>
      <c r="D8" s="23" t="n">
        <f aca="false">IF($A8+D$5=0,"",Parametros!$C$11+($A8+D$5+1)*Parametros!$C$9+$A8*(Parametros!$B$33-Parametros!$C$13)+D$5*(Parametros!$B$34-Parametros!$C$13))</f>
        <v>1626</v>
      </c>
      <c r="E8" s="23" t="n">
        <f aca="false">IF($A8+E$5=0,"",Parametros!$C$11+($A8+E$5+1)*Parametros!$C$9+$A8*(Parametros!$B$33-Parametros!$C$13)+E$5*(Parametros!$B$34-Parametros!$C$13))</f>
        <v>2130.88</v>
      </c>
      <c r="F8" s="23" t="n">
        <f aca="false">IF($A8+F$5=0,"",Parametros!$C$11+($A8+F$5+1)*Parametros!$C$9+$A8*(Parametros!$B$33-Parametros!$C$13)+F$5*(Parametros!$B$34-Parametros!$C$13))</f>
        <v>2635.76</v>
      </c>
    </row>
    <row r="9" customFormat="false" ht="15" hidden="false" customHeight="false" outlineLevel="0" collapsed="false">
      <c r="A9" s="19" t="n">
        <v>3</v>
      </c>
      <c r="B9" s="23" t="n">
        <f aca="false">IF($A9+B$5=0,"",Parametros!$C$11+($A9+B$5+1)*Parametros!$C$9+$A9*(Parametros!$B$33-Parametros!$C$13)+B$5*(Parametros!$B$34-Parametros!$C$13))</f>
        <v>878.12</v>
      </c>
      <c r="C9" s="23" t="n">
        <f aca="false">IF($A9+C$5=0,"",Parametros!$C$11+($A9+C$5+1)*Parametros!$C$9+$A9*(Parametros!$B$33-Parametros!$C$13)+C$5*(Parametros!$B$34-Parametros!$C$13))</f>
        <v>1383</v>
      </c>
      <c r="D9" s="23" t="n">
        <f aca="false">IF($A9+D$5=0,"",Parametros!$C$11+($A9+D$5+1)*Parametros!$C$9+$A9*(Parametros!$B$33-Parametros!$C$13)+D$5*(Parametros!$B$34-Parametros!$C$13))</f>
        <v>1887.88</v>
      </c>
      <c r="E9" s="23" t="n">
        <f aca="false">IF($A9+E$5=0,"",Parametros!$C$11+($A9+E$5+1)*Parametros!$C$9+$A9*(Parametros!$B$33-Parametros!$C$13)+E$5*(Parametros!$B$34-Parametros!$C$13))</f>
        <v>2392.76</v>
      </c>
      <c r="F9" s="23" t="n">
        <f aca="false">IF($A9+F$5=0,"",Parametros!$C$11+($A9+F$5+1)*Parametros!$C$9+$A9*(Parametros!$B$33-Parametros!$C$13)+F$5*(Parametros!$B$34-Parametros!$C$13))</f>
        <v>2897.64</v>
      </c>
    </row>
    <row r="10" customFormat="false" ht="15" hidden="false" customHeight="false" outlineLevel="0" collapsed="false">
      <c r="A10" s="19" t="n">
        <v>4</v>
      </c>
      <c r="B10" s="23" t="n">
        <f aca="false">IF($A10+B$5=0,"",Parametros!$C$11+($A10+B$5+1)*Parametros!$C$9+$A10*(Parametros!$B$33-Parametros!$C$13)+B$5*(Parametros!$B$34-Parametros!$C$13))</f>
        <v>1140</v>
      </c>
      <c r="C10" s="23" t="n">
        <f aca="false">IF($A10+C$5=0,"",Parametros!$C$11+($A10+C$5+1)*Parametros!$C$9+$A10*(Parametros!$B$33-Parametros!$C$13)+C$5*(Parametros!$B$34-Parametros!$C$13))</f>
        <v>1644.88</v>
      </c>
      <c r="D10" s="23" t="n">
        <f aca="false">IF($A10+D$5=0,"",Parametros!$C$11+($A10+D$5+1)*Parametros!$C$9+$A10*(Parametros!$B$33-Parametros!$C$13)+D$5*(Parametros!$B$34-Parametros!$C$13))</f>
        <v>2149.76</v>
      </c>
      <c r="E10" s="23" t="n">
        <f aca="false">IF($A10+E$5=0,"",Parametros!$C$11+($A10+E$5+1)*Parametros!$C$9+$A10*(Parametros!$B$33-Parametros!$C$13)+E$5*(Parametros!$B$34-Parametros!$C$13))</f>
        <v>2654.64</v>
      </c>
      <c r="F10" s="23" t="n">
        <f aca="false">IF($A10+F$5=0,"",Parametros!$C$11+($A10+F$5+1)*Parametros!$C$9+$A10*(Parametros!$B$33-Parametros!$C$13)+F$5*(Parametros!$B$34-Parametros!$C$13))</f>
        <v>3159.52</v>
      </c>
    </row>
    <row r="11" customFormat="false" ht="15" hidden="false" customHeight="false" outlineLevel="0" collapsed="false">
      <c r="A11" s="19" t="n">
        <v>5</v>
      </c>
      <c r="B11" s="23" t="n">
        <f aca="false">IF($A11+B$5=0,"",Parametros!$C$11+($A11+B$5+1)*Parametros!$C$9+$A11*(Parametros!$B$33-Parametros!$C$13)+B$5*(Parametros!$B$34-Parametros!$C$13))</f>
        <v>1401.88</v>
      </c>
      <c r="C11" s="23" t="n">
        <f aca="false">IF($A11+C$5=0,"",Parametros!$C$11+($A11+C$5+1)*Parametros!$C$9+$A11*(Parametros!$B$33-Parametros!$C$13)+C$5*(Parametros!$B$34-Parametros!$C$13))</f>
        <v>1906.76</v>
      </c>
      <c r="D11" s="23" t="n">
        <f aca="false">IF($A11+D$5=0,"",Parametros!$C$11+($A11+D$5+1)*Parametros!$C$9+$A11*(Parametros!$B$33-Parametros!$C$13)+D$5*(Parametros!$B$34-Parametros!$C$13))</f>
        <v>2411.64</v>
      </c>
      <c r="E11" s="23" t="n">
        <f aca="false">IF($A11+E$5=0,"",Parametros!$C$11+($A11+E$5+1)*Parametros!$C$9+$A11*(Parametros!$B$33-Parametros!$C$13)+E$5*(Parametros!$B$34-Parametros!$C$13))</f>
        <v>2916.52</v>
      </c>
      <c r="F11" s="23" t="n">
        <f aca="false">IF($A11+F$5=0,"",Parametros!$C$11+($A11+F$5+1)*Parametros!$C$9+$A11*(Parametros!$B$33-Parametros!$C$13)+F$5*(Parametros!$B$34-Parametros!$C$13))</f>
        <v>3421.4</v>
      </c>
    </row>
    <row r="12" customFormat="false" ht="15" hidden="false" customHeight="false" outlineLevel="0" collapsed="false">
      <c r="A12" s="19" t="n">
        <v>6</v>
      </c>
      <c r="B12" s="23" t="n">
        <f aca="false">IF($A12+B$5=0,"",Parametros!$C$11+($A12+B$5+1)*Parametros!$C$9+$A12*(Parametros!$B$33-Parametros!$C$13)+B$5*(Parametros!$B$34-Parametros!$C$13))</f>
        <v>1663.76</v>
      </c>
      <c r="C12" s="23" t="n">
        <f aca="false">IF($A12+C$5=0,"",Parametros!$C$11+($A12+C$5+1)*Parametros!$C$9+$A12*(Parametros!$B$33-Parametros!$C$13)+C$5*(Parametros!$B$34-Parametros!$C$13))</f>
        <v>2168.64</v>
      </c>
      <c r="D12" s="23" t="n">
        <f aca="false">IF($A12+D$5=0,"",Parametros!$C$11+($A12+D$5+1)*Parametros!$C$9+$A12*(Parametros!$B$33-Parametros!$C$13)+D$5*(Parametros!$B$34-Parametros!$C$13))</f>
        <v>2673.52</v>
      </c>
      <c r="E12" s="23" t="n">
        <f aca="false">IF($A12+E$5=0,"",Parametros!$C$11+($A12+E$5+1)*Parametros!$C$9+$A12*(Parametros!$B$33-Parametros!$C$13)+E$5*(Parametros!$B$34-Parametros!$C$13))</f>
        <v>3178.4</v>
      </c>
      <c r="F12" s="23" t="n">
        <f aca="false">IF($A12+F$5=0,"",Parametros!$C$11+($A12+F$5+1)*Parametros!$C$9+$A12*(Parametros!$B$33-Parametros!$C$13)+F$5*(Parametros!$B$34-Parametros!$C$13))</f>
        <v>3683.28</v>
      </c>
    </row>
    <row r="13" customFormat="false" ht="15" hidden="false" customHeight="false" outlineLevel="0" collapsed="false">
      <c r="A13" s="19" t="n">
        <v>7</v>
      </c>
      <c r="B13" s="23" t="n">
        <f aca="false">IF($A13+B$5=0,"",Parametros!$C$11+($A13+B$5+1)*Parametros!$C$9+$A13*(Parametros!$B$33-Parametros!$C$13)+B$5*(Parametros!$B$34-Parametros!$C$13))</f>
        <v>1925.64</v>
      </c>
      <c r="C13" s="23" t="n">
        <f aca="false">IF($A13+C$5=0,"",Parametros!$C$11+($A13+C$5+1)*Parametros!$C$9+$A13*(Parametros!$B$33-Parametros!$C$13)+C$5*(Parametros!$B$34-Parametros!$C$13))</f>
        <v>2430.52</v>
      </c>
      <c r="D13" s="23" t="n">
        <f aca="false">IF($A13+D$5=0,"",Parametros!$C$11+($A13+D$5+1)*Parametros!$C$9+$A13*(Parametros!$B$33-Parametros!$C$13)+D$5*(Parametros!$B$34-Parametros!$C$13))</f>
        <v>2935.4</v>
      </c>
      <c r="E13" s="23" t="n">
        <f aca="false">IF($A13+E$5=0,"",Parametros!$C$11+($A13+E$5+1)*Parametros!$C$9+$A13*(Parametros!$B$33-Parametros!$C$13)+E$5*(Parametros!$B$34-Parametros!$C$13))</f>
        <v>3440.28</v>
      </c>
      <c r="F13" s="23" t="n">
        <f aca="false">IF($A13+F$5=0,"",Parametros!$C$11+($A13+F$5+1)*Parametros!$C$9+$A13*(Parametros!$B$33-Parametros!$C$13)+F$5*(Parametros!$B$34-Parametros!$C$13))</f>
        <v>3945.16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5" t="s">
        <v>118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9" t="s">
        <v>112</v>
      </c>
      <c r="B16" s="9" t="s">
        <v>113</v>
      </c>
      <c r="C16" s="9" t="s">
        <v>114</v>
      </c>
      <c r="D16" s="9" t="s">
        <v>115</v>
      </c>
      <c r="E16" s="9" t="s">
        <v>116</v>
      </c>
      <c r="F16" s="9" t="s">
        <v>117</v>
      </c>
    </row>
    <row r="17" customFormat="false" ht="15" hidden="false" customHeight="false" outlineLevel="0" collapsed="false">
      <c r="A17" s="19" t="n">
        <v>0</v>
      </c>
      <c r="B17" s="23" t="str">
        <f aca="false">IF($A17+B$16=0,"",Parametros!$C$11+($A17+B$16+1)*Parametros!$C$9+$A17*(Parametros!$B$33-Parametros!$C$13)+B$16*(Parametros!$B$34-Parametros!$C$13)+(Parametros!$C$9+Parametros!$B$33-Parametros!$C$13))</f>
        <v/>
      </c>
      <c r="C17" s="23" t="n">
        <f aca="false">IF($A17+C$16=0,"",Parametros!$C$11+($A17+C$16+1)*Parametros!$C$9+$A17*(Parametros!$B$33-Parametros!$C$13)+C$16*(Parametros!$B$34-Parametros!$C$13)+(Parametros!$C$9+Parametros!$B$33-Parametros!$C$13))</f>
        <v>859.24</v>
      </c>
      <c r="D17" s="23" t="n">
        <f aca="false">IF($A17+D$16=0,"",Parametros!$C$11+($A17+D$16+1)*Parametros!$C$9+$A17*(Parametros!$B$33-Parametros!$C$13)+D$16*(Parametros!$B$34-Parametros!$C$13)+(Parametros!$C$9+Parametros!$B$33-Parametros!$C$13))</f>
        <v>1364.12</v>
      </c>
      <c r="E17" s="23" t="n">
        <f aca="false">IF($A17+E$16=0,"",Parametros!$C$11+($A17+E$16+1)*Parametros!$C$9+$A17*(Parametros!$B$33-Parametros!$C$13)+E$16*(Parametros!$B$34-Parametros!$C$13)+(Parametros!$C$9+Parametros!$B$33-Parametros!$C$13))</f>
        <v>1869</v>
      </c>
      <c r="F17" s="23" t="n">
        <f aca="false">IF($A17+F$16=0,"",Parametros!$C$11+($A17+F$16+1)*Parametros!$C$9+$A17*(Parametros!$B$33-Parametros!$C$13)+F$16*(Parametros!$B$34-Parametros!$C$13)+(Parametros!$C$9+Parametros!$B$33-Parametros!$C$13))</f>
        <v>2373.88</v>
      </c>
    </row>
    <row r="18" customFormat="false" ht="15" hidden="false" customHeight="false" outlineLevel="0" collapsed="false">
      <c r="A18" s="19" t="n">
        <v>1</v>
      </c>
      <c r="B18" s="23" t="n">
        <f aca="false">IF($A18+B$16=0,"",Parametros!$C$11+($A18+B$16+1)*Parametros!$C$9+$A18*(Parametros!$B$33-Parametros!$C$13)+B$16*(Parametros!$B$34-Parametros!$C$13)+(Parametros!$C$9+Parametros!$B$33-Parametros!$C$13))</f>
        <v>616.24</v>
      </c>
      <c r="C18" s="23" t="n">
        <f aca="false">IF($A18+C$16=0,"",Parametros!$C$11+($A18+C$16+1)*Parametros!$C$9+$A18*(Parametros!$B$33-Parametros!$C$13)+C$16*(Parametros!$B$34-Parametros!$C$13)+(Parametros!$C$9+Parametros!$B$33-Parametros!$C$13))</f>
        <v>1121.12</v>
      </c>
      <c r="D18" s="23" t="n">
        <f aca="false">IF($A18+D$16=0,"",Parametros!$C$11+($A18+D$16+1)*Parametros!$C$9+$A18*(Parametros!$B$33-Parametros!$C$13)+D$16*(Parametros!$B$34-Parametros!$C$13)+(Parametros!$C$9+Parametros!$B$33-Parametros!$C$13))</f>
        <v>1626</v>
      </c>
      <c r="E18" s="23" t="n">
        <f aca="false">IF($A18+E$16=0,"",Parametros!$C$11+($A18+E$16+1)*Parametros!$C$9+$A18*(Parametros!$B$33-Parametros!$C$13)+E$16*(Parametros!$B$34-Parametros!$C$13)+(Parametros!$C$9+Parametros!$B$33-Parametros!$C$13))</f>
        <v>2130.88</v>
      </c>
      <c r="F18" s="23" t="n">
        <f aca="false">IF($A18+F$16=0,"",Parametros!$C$11+($A18+F$16+1)*Parametros!$C$9+$A18*(Parametros!$B$33-Parametros!$C$13)+F$16*(Parametros!$B$34-Parametros!$C$13)+(Parametros!$C$9+Parametros!$B$33-Parametros!$C$13))</f>
        <v>2635.76</v>
      </c>
    </row>
    <row r="19" customFormat="false" ht="15" hidden="false" customHeight="false" outlineLevel="0" collapsed="false">
      <c r="A19" s="19" t="n">
        <v>2</v>
      </c>
      <c r="B19" s="23" t="n">
        <f aca="false">IF($A19+B$16=0,"",Parametros!$C$11+($A19+B$16+1)*Parametros!$C$9+$A19*(Parametros!$B$33-Parametros!$C$13)+B$16*(Parametros!$B$34-Parametros!$C$13)+(Parametros!$C$9+Parametros!$B$33-Parametros!$C$13))</f>
        <v>878.12</v>
      </c>
      <c r="C19" s="23" t="n">
        <f aca="false">IF($A19+C$16=0,"",Parametros!$C$11+($A19+C$16+1)*Parametros!$C$9+$A19*(Parametros!$B$33-Parametros!$C$13)+C$16*(Parametros!$B$34-Parametros!$C$13)+(Parametros!$C$9+Parametros!$B$33-Parametros!$C$13))</f>
        <v>1383</v>
      </c>
      <c r="D19" s="23" t="n">
        <f aca="false">IF($A19+D$16=0,"",Parametros!$C$11+($A19+D$16+1)*Parametros!$C$9+$A19*(Parametros!$B$33-Parametros!$C$13)+D$16*(Parametros!$B$34-Parametros!$C$13)+(Parametros!$C$9+Parametros!$B$33-Parametros!$C$13))</f>
        <v>1887.88</v>
      </c>
      <c r="E19" s="23" t="n">
        <f aca="false">IF($A19+E$16=0,"",Parametros!$C$11+($A19+E$16+1)*Parametros!$C$9+$A19*(Parametros!$B$33-Parametros!$C$13)+E$16*(Parametros!$B$34-Parametros!$C$13)+(Parametros!$C$9+Parametros!$B$33-Parametros!$C$13))</f>
        <v>2392.76</v>
      </c>
      <c r="F19" s="23" t="n">
        <f aca="false">IF($A19+F$16=0,"",Parametros!$C$11+($A19+F$16+1)*Parametros!$C$9+$A19*(Parametros!$B$33-Parametros!$C$13)+F$16*(Parametros!$B$34-Parametros!$C$13)+(Parametros!$C$9+Parametros!$B$33-Parametros!$C$13))</f>
        <v>2897.64</v>
      </c>
    </row>
    <row r="20" customFormat="false" ht="15" hidden="false" customHeight="false" outlineLevel="0" collapsed="false">
      <c r="A20" s="19" t="n">
        <v>3</v>
      </c>
      <c r="B20" s="23" t="n">
        <f aca="false">IF($A20+B$16=0,"",Parametros!$C$11+($A20+B$16+1)*Parametros!$C$9+$A20*(Parametros!$B$33-Parametros!$C$13)+B$16*(Parametros!$B$34-Parametros!$C$13)+(Parametros!$C$9+Parametros!$B$33-Parametros!$C$13))</f>
        <v>1140</v>
      </c>
      <c r="C20" s="23" t="n">
        <f aca="false">IF($A20+C$16=0,"",Parametros!$C$11+($A20+C$16+1)*Parametros!$C$9+$A20*(Parametros!$B$33-Parametros!$C$13)+C$16*(Parametros!$B$34-Parametros!$C$13)+(Parametros!$C$9+Parametros!$B$33-Parametros!$C$13))</f>
        <v>1644.88</v>
      </c>
      <c r="D20" s="23" t="n">
        <f aca="false">IF($A20+D$16=0,"",Parametros!$C$11+($A20+D$16+1)*Parametros!$C$9+$A20*(Parametros!$B$33-Parametros!$C$13)+D$16*(Parametros!$B$34-Parametros!$C$13)+(Parametros!$C$9+Parametros!$B$33-Parametros!$C$13))</f>
        <v>2149.76</v>
      </c>
      <c r="E20" s="23" t="n">
        <f aca="false">IF($A20+E$16=0,"",Parametros!$C$11+($A20+E$16+1)*Parametros!$C$9+$A20*(Parametros!$B$33-Parametros!$C$13)+E$16*(Parametros!$B$34-Parametros!$C$13)+(Parametros!$C$9+Parametros!$B$33-Parametros!$C$13))</f>
        <v>2654.64</v>
      </c>
      <c r="F20" s="23" t="n">
        <f aca="false">IF($A20+F$16=0,"",Parametros!$C$11+($A20+F$16+1)*Parametros!$C$9+$A20*(Parametros!$B$33-Parametros!$C$13)+F$16*(Parametros!$B$34-Parametros!$C$13)+(Parametros!$C$9+Parametros!$B$33-Parametros!$C$13))</f>
        <v>3159.52</v>
      </c>
    </row>
    <row r="21" customFormat="false" ht="15" hidden="false" customHeight="false" outlineLevel="0" collapsed="false">
      <c r="A21" s="19" t="n">
        <v>4</v>
      </c>
      <c r="B21" s="23" t="n">
        <f aca="false">IF($A21+B$16=0,"",Parametros!$C$11+($A21+B$16+1)*Parametros!$C$9+$A21*(Parametros!$B$33-Parametros!$C$13)+B$16*(Parametros!$B$34-Parametros!$C$13)+(Parametros!$C$9+Parametros!$B$33-Parametros!$C$13))</f>
        <v>1401.88</v>
      </c>
      <c r="C21" s="23" t="n">
        <f aca="false">IF($A21+C$16=0,"",Parametros!$C$11+($A21+C$16+1)*Parametros!$C$9+$A21*(Parametros!$B$33-Parametros!$C$13)+C$16*(Parametros!$B$34-Parametros!$C$13)+(Parametros!$C$9+Parametros!$B$33-Parametros!$C$13))</f>
        <v>1906.76</v>
      </c>
      <c r="D21" s="23" t="n">
        <f aca="false">IF($A21+D$16=0,"",Parametros!$C$11+($A21+D$16+1)*Parametros!$C$9+$A21*(Parametros!$B$33-Parametros!$C$13)+D$16*(Parametros!$B$34-Parametros!$C$13)+(Parametros!$C$9+Parametros!$B$33-Parametros!$C$13))</f>
        <v>2411.64</v>
      </c>
      <c r="E21" s="23" t="n">
        <f aca="false">IF($A21+E$16=0,"",Parametros!$C$11+($A21+E$16+1)*Parametros!$C$9+$A21*(Parametros!$B$33-Parametros!$C$13)+E$16*(Parametros!$B$34-Parametros!$C$13)+(Parametros!$C$9+Parametros!$B$33-Parametros!$C$13))</f>
        <v>2916.52</v>
      </c>
      <c r="F21" s="23" t="n">
        <f aca="false">IF($A21+F$16=0,"",Parametros!$C$11+($A21+F$16+1)*Parametros!$C$9+$A21*(Parametros!$B$33-Parametros!$C$13)+F$16*(Parametros!$B$34-Parametros!$C$13)+(Parametros!$C$9+Parametros!$B$33-Parametros!$C$13))</f>
        <v>3421.4</v>
      </c>
    </row>
    <row r="22" customFormat="false" ht="15" hidden="false" customHeight="false" outlineLevel="0" collapsed="false">
      <c r="A22" s="19" t="n">
        <v>5</v>
      </c>
      <c r="B22" s="23" t="n">
        <f aca="false">IF($A22+B$16=0,"",Parametros!$C$11+($A22+B$16+1)*Parametros!$C$9+$A22*(Parametros!$B$33-Parametros!$C$13)+B$16*(Parametros!$B$34-Parametros!$C$13)+(Parametros!$C$9+Parametros!$B$33-Parametros!$C$13))</f>
        <v>1663.76</v>
      </c>
      <c r="C22" s="23" t="n">
        <f aca="false">IF($A22+C$16=0,"",Parametros!$C$11+($A22+C$16+1)*Parametros!$C$9+$A22*(Parametros!$B$33-Parametros!$C$13)+C$16*(Parametros!$B$34-Parametros!$C$13)+(Parametros!$C$9+Parametros!$B$33-Parametros!$C$13))</f>
        <v>2168.64</v>
      </c>
      <c r="D22" s="23" t="n">
        <f aca="false">IF($A22+D$16=0,"",Parametros!$C$11+($A22+D$16+1)*Parametros!$C$9+$A22*(Parametros!$B$33-Parametros!$C$13)+D$16*(Parametros!$B$34-Parametros!$C$13)+(Parametros!$C$9+Parametros!$B$33-Parametros!$C$13))</f>
        <v>2673.52</v>
      </c>
      <c r="E22" s="23" t="n">
        <f aca="false">IF($A22+E$16=0,"",Parametros!$C$11+($A22+E$16+1)*Parametros!$C$9+$A22*(Parametros!$B$33-Parametros!$C$13)+E$16*(Parametros!$B$34-Parametros!$C$13)+(Parametros!$C$9+Parametros!$B$33-Parametros!$C$13))</f>
        <v>3178.4</v>
      </c>
      <c r="F22" s="23" t="n">
        <f aca="false">IF($A22+F$16=0,"",Parametros!$C$11+($A22+F$16+1)*Parametros!$C$9+$A22*(Parametros!$B$33-Parametros!$C$13)+F$16*(Parametros!$B$34-Parametros!$C$13)+(Parametros!$C$9+Parametros!$B$33-Parametros!$C$13))</f>
        <v>3683.28</v>
      </c>
    </row>
    <row r="23" customFormat="false" ht="15" hidden="false" customHeight="false" outlineLevel="0" collapsed="false">
      <c r="A23" s="19" t="n">
        <v>6</v>
      </c>
      <c r="B23" s="23" t="n">
        <f aca="false">IF($A23+B$16=0,"",Parametros!$C$11+($A23+B$16+1)*Parametros!$C$9+$A23*(Parametros!$B$33-Parametros!$C$13)+B$16*(Parametros!$B$34-Parametros!$C$13)+(Parametros!$C$9+Parametros!$B$33-Parametros!$C$13))</f>
        <v>1925.64</v>
      </c>
      <c r="C23" s="23" t="n">
        <f aca="false">IF($A23+C$16=0,"",Parametros!$C$11+($A23+C$16+1)*Parametros!$C$9+$A23*(Parametros!$B$33-Parametros!$C$13)+C$16*(Parametros!$B$34-Parametros!$C$13)+(Parametros!$C$9+Parametros!$B$33-Parametros!$C$13))</f>
        <v>2430.52</v>
      </c>
      <c r="D23" s="23" t="n">
        <f aca="false">IF($A23+D$16=0,"",Parametros!$C$11+($A23+D$16+1)*Parametros!$C$9+$A23*(Parametros!$B$33-Parametros!$C$13)+D$16*(Parametros!$B$34-Parametros!$C$13)+(Parametros!$C$9+Parametros!$B$33-Parametros!$C$13))</f>
        <v>2935.4</v>
      </c>
      <c r="E23" s="23" t="n">
        <f aca="false">IF($A23+E$16=0,"",Parametros!$C$11+($A23+E$16+1)*Parametros!$C$9+$A23*(Parametros!$B$33-Parametros!$C$13)+E$16*(Parametros!$B$34-Parametros!$C$13)+(Parametros!$C$9+Parametros!$B$33-Parametros!$C$13))</f>
        <v>3440.28</v>
      </c>
      <c r="F23" s="23" t="n">
        <f aca="false">IF($A23+F$16=0,"",Parametros!$C$11+($A23+F$16+1)*Parametros!$C$9+$A23*(Parametros!$B$33-Parametros!$C$13)+F$16*(Parametros!$B$34-Parametros!$C$13)+(Parametros!$C$9+Parametros!$B$33-Parametros!$C$13))</f>
        <v>3945.16</v>
      </c>
    </row>
    <row r="24" customFormat="false" ht="15" hidden="false" customHeight="false" outlineLevel="0" collapsed="false">
      <c r="A24" s="19" t="n">
        <v>7</v>
      </c>
      <c r="B24" s="23" t="n">
        <f aca="false">IF($A24+B$16=0,"",Parametros!$C$11+($A24+B$16+1)*Parametros!$C$9+$A24*(Parametros!$B$33-Parametros!$C$13)+B$16*(Parametros!$B$34-Parametros!$C$13)+(Parametros!$C$9+Parametros!$B$33-Parametros!$C$13))</f>
        <v>2187.52</v>
      </c>
      <c r="C24" s="23" t="n">
        <f aca="false">IF($A24+C$16=0,"",Parametros!$C$11+($A24+C$16+1)*Parametros!$C$9+$A24*(Parametros!$B$33-Parametros!$C$13)+C$16*(Parametros!$B$34-Parametros!$C$13)+(Parametros!$C$9+Parametros!$B$33-Parametros!$C$13))</f>
        <v>2692.4</v>
      </c>
      <c r="D24" s="23" t="n">
        <f aca="false">IF($A24+D$16=0,"",Parametros!$C$11+($A24+D$16+1)*Parametros!$C$9+$A24*(Parametros!$B$33-Parametros!$C$13)+D$16*(Parametros!$B$34-Parametros!$C$13)+(Parametros!$C$9+Parametros!$B$33-Parametros!$C$13))</f>
        <v>3197.28</v>
      </c>
      <c r="E24" s="23" t="n">
        <f aca="false">IF($A24+E$16=0,"",Parametros!$C$11+($A24+E$16+1)*Parametros!$C$9+$A24*(Parametros!$B$33-Parametros!$C$13)+E$16*(Parametros!$B$34-Parametros!$C$13)+(Parametros!$C$9+Parametros!$B$33-Parametros!$C$13))</f>
        <v>3702.16</v>
      </c>
      <c r="F24" s="23" t="n">
        <f aca="false">IF($A24+F$16=0,"",Parametros!$C$11+($A24+F$16+1)*Parametros!$C$9+$A24*(Parametros!$B$33-Parametros!$C$13)+F$16*(Parametros!$B$34-Parametros!$C$13)+(Parametros!$C$9+Parametros!$B$33-Parametros!$C$13))</f>
        <v>4207.04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</row>
    <row r="26" customFormat="false" ht="15" hidden="false" customHeight="false" outlineLevel="0" collapsed="false">
      <c r="A26" s="5" t="s">
        <v>119</v>
      </c>
      <c r="B26" s="2"/>
      <c r="C26" s="2"/>
      <c r="D26" s="2"/>
      <c r="E26" s="2"/>
      <c r="F26" s="2"/>
    </row>
    <row r="27" customFormat="false" ht="15" hidden="false" customHeight="false" outlineLevel="0" collapsed="false">
      <c r="A27" s="9" t="s">
        <v>112</v>
      </c>
      <c r="B27" s="9" t="s">
        <v>113</v>
      </c>
      <c r="C27" s="9" t="s">
        <v>114</v>
      </c>
      <c r="D27" s="9" t="s">
        <v>115</v>
      </c>
      <c r="E27" s="9" t="s">
        <v>116</v>
      </c>
      <c r="F27" s="9" t="s">
        <v>117</v>
      </c>
    </row>
    <row r="28" customFormat="false" ht="15" hidden="false" customHeight="false" outlineLevel="0" collapsed="false">
      <c r="A28" s="19" t="n">
        <v>0</v>
      </c>
      <c r="B28" s="23" t="str">
        <f aca="false">IF($A28+B$27=0,"",Parametros!$C$11+($A28+B$27+1)*Parametros!$C$9+$A28*(Parametros!$B$33-Parametros!$C$13)+B$27*(Parametros!$B$34-Parametros!$C$13)+(Parametros!$C$9+Parametros!$B$34-Parametros!$C$13))</f>
        <v/>
      </c>
      <c r="C28" s="23" t="n">
        <f aca="false">IF($A28+C$27=0,"",Parametros!$C$11+($A28+C$27+1)*Parametros!$C$9+$A28*(Parametros!$B$33-Parametros!$C$13)+C$27*(Parametros!$B$34-Parametros!$C$13)+(Parametros!$C$9+Parametros!$B$34-Parametros!$C$13))</f>
        <v>1102.24</v>
      </c>
      <c r="D28" s="23" t="n">
        <f aca="false">IF($A28+D$27=0,"",Parametros!$C$11+($A28+D$27+1)*Parametros!$C$9+$A28*(Parametros!$B$33-Parametros!$C$13)+D$27*(Parametros!$B$34-Parametros!$C$13)+(Parametros!$C$9+Parametros!$B$34-Parametros!$C$13))</f>
        <v>1607.12</v>
      </c>
      <c r="E28" s="23" t="n">
        <f aca="false">IF($A28+E$27=0,"",Parametros!$C$11+($A28+E$27+1)*Parametros!$C$9+$A28*(Parametros!$B$33-Parametros!$C$13)+E$27*(Parametros!$B$34-Parametros!$C$13)+(Parametros!$C$9+Parametros!$B$34-Parametros!$C$13))</f>
        <v>2112</v>
      </c>
      <c r="F28" s="23" t="n">
        <f aca="false">IF($A28+F$27=0,"",Parametros!$C$11+($A28+F$27+1)*Parametros!$C$9+$A28*(Parametros!$B$33-Parametros!$C$13)+F$27*(Parametros!$B$34-Parametros!$C$13)+(Parametros!$C$9+Parametros!$B$34-Parametros!$C$13))</f>
        <v>2616.88</v>
      </c>
    </row>
    <row r="29" customFormat="false" ht="15" hidden="false" customHeight="false" outlineLevel="0" collapsed="false">
      <c r="A29" s="19" t="n">
        <v>1</v>
      </c>
      <c r="B29" s="23" t="n">
        <f aca="false">IF($A29+B$27=0,"",Parametros!$C$11+($A29+B$27+1)*Parametros!$C$9+$A29*(Parametros!$B$33-Parametros!$C$13)+B$27*(Parametros!$B$34-Parametros!$C$13)+(Parametros!$C$9+Parametros!$B$34-Parametros!$C$13))</f>
        <v>859.24</v>
      </c>
      <c r="C29" s="23" t="n">
        <f aca="false">IF($A29+C$27=0,"",Parametros!$C$11+($A29+C$27+1)*Parametros!$C$9+$A29*(Parametros!$B$33-Parametros!$C$13)+C$27*(Parametros!$B$34-Parametros!$C$13)+(Parametros!$C$9+Parametros!$B$34-Parametros!$C$13))</f>
        <v>1364.12</v>
      </c>
      <c r="D29" s="23" t="n">
        <f aca="false">IF($A29+D$27=0,"",Parametros!$C$11+($A29+D$27+1)*Parametros!$C$9+$A29*(Parametros!$B$33-Parametros!$C$13)+D$27*(Parametros!$B$34-Parametros!$C$13)+(Parametros!$C$9+Parametros!$B$34-Parametros!$C$13))</f>
        <v>1869</v>
      </c>
      <c r="E29" s="23" t="n">
        <f aca="false">IF($A29+E$27=0,"",Parametros!$C$11+($A29+E$27+1)*Parametros!$C$9+$A29*(Parametros!$B$33-Parametros!$C$13)+E$27*(Parametros!$B$34-Parametros!$C$13)+(Parametros!$C$9+Parametros!$B$34-Parametros!$C$13))</f>
        <v>2373.88</v>
      </c>
      <c r="F29" s="23" t="n">
        <f aca="false">IF($A29+F$27=0,"",Parametros!$C$11+($A29+F$27+1)*Parametros!$C$9+$A29*(Parametros!$B$33-Parametros!$C$13)+F$27*(Parametros!$B$34-Parametros!$C$13)+(Parametros!$C$9+Parametros!$B$34-Parametros!$C$13))</f>
        <v>2878.76</v>
      </c>
    </row>
    <row r="30" customFormat="false" ht="15" hidden="false" customHeight="false" outlineLevel="0" collapsed="false">
      <c r="A30" s="19" t="n">
        <v>2</v>
      </c>
      <c r="B30" s="23" t="n">
        <f aca="false">IF($A30+B$27=0,"",Parametros!$C$11+($A30+B$27+1)*Parametros!$C$9+$A30*(Parametros!$B$33-Parametros!$C$13)+B$27*(Parametros!$B$34-Parametros!$C$13)+(Parametros!$C$9+Parametros!$B$34-Parametros!$C$13))</f>
        <v>1121.12</v>
      </c>
      <c r="C30" s="23" t="n">
        <f aca="false">IF($A30+C$27=0,"",Parametros!$C$11+($A30+C$27+1)*Parametros!$C$9+$A30*(Parametros!$B$33-Parametros!$C$13)+C$27*(Parametros!$B$34-Parametros!$C$13)+(Parametros!$C$9+Parametros!$B$34-Parametros!$C$13))</f>
        <v>1626</v>
      </c>
      <c r="D30" s="23" t="n">
        <f aca="false">IF($A30+D$27=0,"",Parametros!$C$11+($A30+D$27+1)*Parametros!$C$9+$A30*(Parametros!$B$33-Parametros!$C$13)+D$27*(Parametros!$B$34-Parametros!$C$13)+(Parametros!$C$9+Parametros!$B$34-Parametros!$C$13))</f>
        <v>2130.88</v>
      </c>
      <c r="E30" s="23" t="n">
        <f aca="false">IF($A30+E$27=0,"",Parametros!$C$11+($A30+E$27+1)*Parametros!$C$9+$A30*(Parametros!$B$33-Parametros!$C$13)+E$27*(Parametros!$B$34-Parametros!$C$13)+(Parametros!$C$9+Parametros!$B$34-Parametros!$C$13))</f>
        <v>2635.76</v>
      </c>
      <c r="F30" s="23" t="n">
        <f aca="false">IF($A30+F$27=0,"",Parametros!$C$11+($A30+F$27+1)*Parametros!$C$9+$A30*(Parametros!$B$33-Parametros!$C$13)+F$27*(Parametros!$B$34-Parametros!$C$13)+(Parametros!$C$9+Parametros!$B$34-Parametros!$C$13))</f>
        <v>3140.64</v>
      </c>
    </row>
    <row r="31" customFormat="false" ht="15" hidden="false" customHeight="false" outlineLevel="0" collapsed="false">
      <c r="A31" s="19" t="n">
        <v>3</v>
      </c>
      <c r="B31" s="23" t="n">
        <f aca="false">IF($A31+B$27=0,"",Parametros!$C$11+($A31+B$27+1)*Parametros!$C$9+$A31*(Parametros!$B$33-Parametros!$C$13)+B$27*(Parametros!$B$34-Parametros!$C$13)+(Parametros!$C$9+Parametros!$B$34-Parametros!$C$13))</f>
        <v>1383</v>
      </c>
      <c r="C31" s="23" t="n">
        <f aca="false">IF($A31+C$27=0,"",Parametros!$C$11+($A31+C$27+1)*Parametros!$C$9+$A31*(Parametros!$B$33-Parametros!$C$13)+C$27*(Parametros!$B$34-Parametros!$C$13)+(Parametros!$C$9+Parametros!$B$34-Parametros!$C$13))</f>
        <v>1887.88</v>
      </c>
      <c r="D31" s="23" t="n">
        <f aca="false">IF($A31+D$27=0,"",Parametros!$C$11+($A31+D$27+1)*Parametros!$C$9+$A31*(Parametros!$B$33-Parametros!$C$13)+D$27*(Parametros!$B$34-Parametros!$C$13)+(Parametros!$C$9+Parametros!$B$34-Parametros!$C$13))</f>
        <v>2392.76</v>
      </c>
      <c r="E31" s="23" t="n">
        <f aca="false">IF($A31+E$27=0,"",Parametros!$C$11+($A31+E$27+1)*Parametros!$C$9+$A31*(Parametros!$B$33-Parametros!$C$13)+E$27*(Parametros!$B$34-Parametros!$C$13)+(Parametros!$C$9+Parametros!$B$34-Parametros!$C$13))</f>
        <v>2897.64</v>
      </c>
      <c r="F31" s="23" t="n">
        <f aca="false">IF($A31+F$27=0,"",Parametros!$C$11+($A31+F$27+1)*Parametros!$C$9+$A31*(Parametros!$B$33-Parametros!$C$13)+F$27*(Parametros!$B$34-Parametros!$C$13)+(Parametros!$C$9+Parametros!$B$34-Parametros!$C$13))</f>
        <v>3402.52</v>
      </c>
    </row>
    <row r="32" customFormat="false" ht="15" hidden="false" customHeight="false" outlineLevel="0" collapsed="false">
      <c r="A32" s="19" t="n">
        <v>4</v>
      </c>
      <c r="B32" s="23" t="n">
        <f aca="false">IF($A32+B$27=0,"",Parametros!$C$11+($A32+B$27+1)*Parametros!$C$9+$A32*(Parametros!$B$33-Parametros!$C$13)+B$27*(Parametros!$B$34-Parametros!$C$13)+(Parametros!$C$9+Parametros!$B$34-Parametros!$C$13))</f>
        <v>1644.88</v>
      </c>
      <c r="C32" s="23" t="n">
        <f aca="false">IF($A32+C$27=0,"",Parametros!$C$11+($A32+C$27+1)*Parametros!$C$9+$A32*(Parametros!$B$33-Parametros!$C$13)+C$27*(Parametros!$B$34-Parametros!$C$13)+(Parametros!$C$9+Parametros!$B$34-Parametros!$C$13))</f>
        <v>2149.76</v>
      </c>
      <c r="D32" s="23" t="n">
        <f aca="false">IF($A32+D$27=0,"",Parametros!$C$11+($A32+D$27+1)*Parametros!$C$9+$A32*(Parametros!$B$33-Parametros!$C$13)+D$27*(Parametros!$B$34-Parametros!$C$13)+(Parametros!$C$9+Parametros!$B$34-Parametros!$C$13))</f>
        <v>2654.64</v>
      </c>
      <c r="E32" s="23" t="n">
        <f aca="false">IF($A32+E$27=0,"",Parametros!$C$11+($A32+E$27+1)*Parametros!$C$9+$A32*(Parametros!$B$33-Parametros!$C$13)+E$27*(Parametros!$B$34-Parametros!$C$13)+(Parametros!$C$9+Parametros!$B$34-Parametros!$C$13))</f>
        <v>3159.52</v>
      </c>
      <c r="F32" s="23" t="n">
        <f aca="false">IF($A32+F$27=0,"",Parametros!$C$11+($A32+F$27+1)*Parametros!$C$9+$A32*(Parametros!$B$33-Parametros!$C$13)+F$27*(Parametros!$B$34-Parametros!$C$13)+(Parametros!$C$9+Parametros!$B$34-Parametros!$C$13))</f>
        <v>3664.4</v>
      </c>
    </row>
    <row r="33" customFormat="false" ht="15" hidden="false" customHeight="false" outlineLevel="0" collapsed="false">
      <c r="A33" s="19" t="n">
        <v>5</v>
      </c>
      <c r="B33" s="23" t="n">
        <f aca="false">IF($A33+B$27=0,"",Parametros!$C$11+($A33+B$27+1)*Parametros!$C$9+$A33*(Parametros!$B$33-Parametros!$C$13)+B$27*(Parametros!$B$34-Parametros!$C$13)+(Parametros!$C$9+Parametros!$B$34-Parametros!$C$13))</f>
        <v>1906.76</v>
      </c>
      <c r="C33" s="23" t="n">
        <f aca="false">IF($A33+C$27=0,"",Parametros!$C$11+($A33+C$27+1)*Parametros!$C$9+$A33*(Parametros!$B$33-Parametros!$C$13)+C$27*(Parametros!$B$34-Parametros!$C$13)+(Parametros!$C$9+Parametros!$B$34-Parametros!$C$13))</f>
        <v>2411.64</v>
      </c>
      <c r="D33" s="23" t="n">
        <f aca="false">IF($A33+D$27=0,"",Parametros!$C$11+($A33+D$27+1)*Parametros!$C$9+$A33*(Parametros!$B$33-Parametros!$C$13)+D$27*(Parametros!$B$34-Parametros!$C$13)+(Parametros!$C$9+Parametros!$B$34-Parametros!$C$13))</f>
        <v>2916.52</v>
      </c>
      <c r="E33" s="23" t="n">
        <f aca="false">IF($A33+E$27=0,"",Parametros!$C$11+($A33+E$27+1)*Parametros!$C$9+$A33*(Parametros!$B$33-Parametros!$C$13)+E$27*(Parametros!$B$34-Parametros!$C$13)+(Parametros!$C$9+Parametros!$B$34-Parametros!$C$13))</f>
        <v>3421.4</v>
      </c>
      <c r="F33" s="23" t="n">
        <f aca="false">IF($A33+F$27=0,"",Parametros!$C$11+($A33+F$27+1)*Parametros!$C$9+$A33*(Parametros!$B$33-Parametros!$C$13)+F$27*(Parametros!$B$34-Parametros!$C$13)+(Parametros!$C$9+Parametros!$B$34-Parametros!$C$13))</f>
        <v>3926.28</v>
      </c>
    </row>
    <row r="34" customFormat="false" ht="15" hidden="false" customHeight="false" outlineLevel="0" collapsed="false">
      <c r="A34" s="19" t="n">
        <v>6</v>
      </c>
      <c r="B34" s="23" t="n">
        <f aca="false">IF($A34+B$27=0,"",Parametros!$C$11+($A34+B$27+1)*Parametros!$C$9+$A34*(Parametros!$B$33-Parametros!$C$13)+B$27*(Parametros!$B$34-Parametros!$C$13)+(Parametros!$C$9+Parametros!$B$34-Parametros!$C$13))</f>
        <v>2168.64</v>
      </c>
      <c r="C34" s="23" t="n">
        <f aca="false">IF($A34+C$27=0,"",Parametros!$C$11+($A34+C$27+1)*Parametros!$C$9+$A34*(Parametros!$B$33-Parametros!$C$13)+C$27*(Parametros!$B$34-Parametros!$C$13)+(Parametros!$C$9+Parametros!$B$34-Parametros!$C$13))</f>
        <v>2673.52</v>
      </c>
      <c r="D34" s="23" t="n">
        <f aca="false">IF($A34+D$27=0,"",Parametros!$C$11+($A34+D$27+1)*Parametros!$C$9+$A34*(Parametros!$B$33-Parametros!$C$13)+D$27*(Parametros!$B$34-Parametros!$C$13)+(Parametros!$C$9+Parametros!$B$34-Parametros!$C$13))</f>
        <v>3178.4</v>
      </c>
      <c r="E34" s="23" t="n">
        <f aca="false">IF($A34+E$27=0,"",Parametros!$C$11+($A34+E$27+1)*Parametros!$C$9+$A34*(Parametros!$B$33-Parametros!$C$13)+E$27*(Parametros!$B$34-Parametros!$C$13)+(Parametros!$C$9+Parametros!$B$34-Parametros!$C$13))</f>
        <v>3683.28</v>
      </c>
      <c r="F34" s="23" t="n">
        <f aca="false">IF($A34+F$27=0,"",Parametros!$C$11+($A34+F$27+1)*Parametros!$C$9+$A34*(Parametros!$B$33-Parametros!$C$13)+F$27*(Parametros!$B$34-Parametros!$C$13)+(Parametros!$C$9+Parametros!$B$34-Parametros!$C$13))</f>
        <v>4188.16</v>
      </c>
    </row>
    <row r="35" customFormat="false" ht="15" hidden="false" customHeight="false" outlineLevel="0" collapsed="false">
      <c r="A35" s="19" t="n">
        <v>7</v>
      </c>
      <c r="B35" s="23" t="n">
        <f aca="false">IF($A35+B$27=0,"",Parametros!$C$11+($A35+B$27+1)*Parametros!$C$9+$A35*(Parametros!$B$33-Parametros!$C$13)+B$27*(Parametros!$B$34-Parametros!$C$13)+(Parametros!$C$9+Parametros!$B$34-Parametros!$C$13))</f>
        <v>2430.52</v>
      </c>
      <c r="C35" s="23" t="n">
        <f aca="false">IF($A35+C$27=0,"",Parametros!$C$11+($A35+C$27+1)*Parametros!$C$9+$A35*(Parametros!$B$33-Parametros!$C$13)+C$27*(Parametros!$B$34-Parametros!$C$13)+(Parametros!$C$9+Parametros!$B$34-Parametros!$C$13))</f>
        <v>2935.4</v>
      </c>
      <c r="D35" s="23" t="n">
        <f aca="false">IF($A35+D$27=0,"",Parametros!$C$11+($A35+D$27+1)*Parametros!$C$9+$A35*(Parametros!$B$33-Parametros!$C$13)+D$27*(Parametros!$B$34-Parametros!$C$13)+(Parametros!$C$9+Parametros!$B$34-Parametros!$C$13))</f>
        <v>3440.28</v>
      </c>
      <c r="E35" s="23" t="n">
        <f aca="false">IF($A35+E$27=0,"",Parametros!$C$11+($A35+E$27+1)*Parametros!$C$9+$A35*(Parametros!$B$33-Parametros!$C$13)+E$27*(Parametros!$B$34-Parametros!$C$13)+(Parametros!$C$9+Parametros!$B$34-Parametros!$C$13))</f>
        <v>3945.16</v>
      </c>
      <c r="F35" s="23" t="n">
        <f aca="false">IF($A35+F$27=0,"",Parametros!$C$11+($A35+F$27+1)*Parametros!$C$9+$A35*(Parametros!$B$33-Parametros!$C$13)+F$27*(Parametros!$B$34-Parametros!$C$13)+(Parametros!$C$9+Parametros!$B$34-Parametros!$C$13))</f>
        <v>4450.04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</row>
    <row r="37" customFormat="false" ht="15" hidden="false" customHeight="false" outlineLevel="0" collapsed="false">
      <c r="A37" s="8" t="s">
        <v>120</v>
      </c>
      <c r="B37" s="2"/>
      <c r="C37" s="2"/>
      <c r="D37" s="2"/>
      <c r="E37" s="2"/>
      <c r="F37" s="2"/>
    </row>
    <row r="38" customFormat="false" ht="15" hidden="false" customHeight="false" outlineLevel="0" collapsed="false">
      <c r="A38" s="8" t="s">
        <v>121</v>
      </c>
      <c r="B38" s="24" t="n">
        <f aca="false">Parametros!$B$33-Parametros!$C$13+Parametros!$C$9-Parametros!$C$12</f>
        <v>246.88</v>
      </c>
      <c r="C38" s="8" t="s">
        <v>122</v>
      </c>
      <c r="D38" s="24" t="n">
        <f aca="false">Parametros!$B$34-Parametros!$C$13+Parametros!$C$9-Parametros!$C$12</f>
        <v>489.88</v>
      </c>
      <c r="E38" s="8" t="s">
        <v>123</v>
      </c>
      <c r="F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124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8" t="s">
        <v>125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9" t="s">
        <v>126</v>
      </c>
      <c r="B4" s="9" t="s">
        <v>103</v>
      </c>
      <c r="C4" s="9" t="s">
        <v>127</v>
      </c>
      <c r="D4" s="9" t="s">
        <v>128</v>
      </c>
      <c r="E4" s="9" t="s">
        <v>129</v>
      </c>
      <c r="F4" s="9" t="s">
        <v>130</v>
      </c>
    </row>
    <row r="5" customFormat="false" ht="15" hidden="false" customHeight="false" outlineLevel="0" collapsed="false">
      <c r="A5" s="19" t="n">
        <v>1</v>
      </c>
      <c r="B5" s="25" t="n">
        <v>270</v>
      </c>
      <c r="C5" s="26" t="n">
        <f aca="false">IF(OR(B5&lt;&gt;"",A5=1),A5,"")</f>
        <v>1</v>
      </c>
      <c r="D5" s="27" t="n">
        <f aca="false">IF(C5="","",Parametros!$C$11+A5*Parametros!$C$9+0+Parametros!$C$12/2)</f>
        <v>99.98</v>
      </c>
      <c r="E5" s="28" t="n">
        <f aca="false">IF(B5="","",B5-Parametros!$C$13+Parametros!$C$9-Parametros!$C$12)</f>
        <v>246.88</v>
      </c>
      <c r="F5" s="26" t="str">
        <f aca="false">IF(D5="","",IF(D5&lt;=800,"chão",IF(D5&lt;=1400,"mãos",IF(D5&lt;=1700,"olhos","topo"))))</f>
        <v>chão</v>
      </c>
    </row>
    <row r="6" customFormat="false" ht="15" hidden="false" customHeight="false" outlineLevel="0" collapsed="false">
      <c r="A6" s="19" t="n">
        <v>2</v>
      </c>
      <c r="B6" s="25" t="n">
        <v>270</v>
      </c>
      <c r="C6" s="26" t="n">
        <f aca="false">IF(OR(B6&lt;&gt;"",A6=1),A6,"")</f>
        <v>2</v>
      </c>
      <c r="D6" s="27" t="n">
        <f aca="false">IF(C6="","",Parametros!$C$11+A6*Parametros!$C$9+SUM($B$5:B5)-COUNT($B$5:B5)*Parametros!$C$13+Parametros!$C$12/2)</f>
        <v>361.86</v>
      </c>
      <c r="E6" s="28" t="n">
        <f aca="false">IF(B6="","",B6-Parametros!$C$13+Parametros!$C$9-Parametros!$C$12)</f>
        <v>246.88</v>
      </c>
      <c r="F6" s="26" t="str">
        <f aca="false">IF(D6="","",IF(D6&lt;=800,"chão",IF(D6&lt;=1400,"mãos",IF(D6&lt;=1700,"olhos","topo"))))</f>
        <v>chão</v>
      </c>
    </row>
    <row r="7" customFormat="false" ht="15" hidden="false" customHeight="false" outlineLevel="0" collapsed="false">
      <c r="A7" s="19" t="n">
        <v>3</v>
      </c>
      <c r="B7" s="25" t="n">
        <v>270</v>
      </c>
      <c r="C7" s="26" t="n">
        <f aca="false">IF(OR(B7&lt;&gt;"",A7=1),A7,"")</f>
        <v>3</v>
      </c>
      <c r="D7" s="27" t="n">
        <f aca="false">IF(C7="","",Parametros!$C$11+A7*Parametros!$C$9+SUM($B$5:B6)-COUNT($B$5:B6)*Parametros!$C$13+Parametros!$C$12/2)</f>
        <v>623.74</v>
      </c>
      <c r="E7" s="28" t="n">
        <f aca="false">IF(B7="","",B7-Parametros!$C$13+Parametros!$C$9-Parametros!$C$12)</f>
        <v>246.88</v>
      </c>
      <c r="F7" s="26" t="str">
        <f aca="false">IF(D7="","",IF(D7&lt;=800,"chão",IF(D7&lt;=1400,"mãos",IF(D7&lt;=1700,"olhos","topo"))))</f>
        <v>chão</v>
      </c>
    </row>
    <row r="8" customFormat="false" ht="15" hidden="false" customHeight="false" outlineLevel="0" collapsed="false">
      <c r="A8" s="19" t="n">
        <v>4</v>
      </c>
      <c r="B8" s="25" t="n">
        <v>270</v>
      </c>
      <c r="C8" s="26" t="n">
        <f aca="false">IF(OR(B8&lt;&gt;"",A8=1),A8,"")</f>
        <v>4</v>
      </c>
      <c r="D8" s="27" t="n">
        <f aca="false">IF(C8="","",Parametros!$C$11+A8*Parametros!$C$9+SUM($B$5:B7)-COUNT($B$5:B7)*Parametros!$C$13+Parametros!$C$12/2)</f>
        <v>885.62</v>
      </c>
      <c r="E8" s="28" t="n">
        <f aca="false">IF(B8="","",B8-Parametros!$C$13+Parametros!$C$9-Parametros!$C$12)</f>
        <v>246.88</v>
      </c>
      <c r="F8" s="26" t="str">
        <f aca="false">IF(D8="","",IF(D8&lt;=800,"chão",IF(D8&lt;=1400,"mãos",IF(D8&lt;=1700,"olhos","topo"))))</f>
        <v>mãos</v>
      </c>
    </row>
    <row r="9" customFormat="false" ht="15" hidden="false" customHeight="false" outlineLevel="0" collapsed="false">
      <c r="A9" s="19" t="n">
        <v>5</v>
      </c>
      <c r="B9" s="25" t="n">
        <v>270</v>
      </c>
      <c r="C9" s="26" t="n">
        <f aca="false">IF(OR(B9&lt;&gt;"",A9=1),A9,"")</f>
        <v>5</v>
      </c>
      <c r="D9" s="27" t="n">
        <f aca="false">IF(C9="","",Parametros!$C$11+A9*Parametros!$C$9+SUM($B$5:B8)-COUNT($B$5:B8)*Parametros!$C$13+Parametros!$C$12/2)</f>
        <v>1147.5</v>
      </c>
      <c r="E9" s="28" t="n">
        <f aca="false">IF(B9="","",B9-Parametros!$C$13+Parametros!$C$9-Parametros!$C$12)</f>
        <v>246.88</v>
      </c>
      <c r="F9" s="26" t="str">
        <f aca="false">IF(D9="","",IF(D9&lt;=800,"chão",IF(D9&lt;=1400,"mãos",IF(D9&lt;=1700,"olhos","topo"))))</f>
        <v>mãos</v>
      </c>
    </row>
    <row r="10" customFormat="false" ht="15" hidden="false" customHeight="false" outlineLevel="0" collapsed="false">
      <c r="A10" s="19" t="n">
        <v>6</v>
      </c>
      <c r="B10" s="25" t="n">
        <v>270</v>
      </c>
      <c r="C10" s="26" t="n">
        <f aca="false">IF(OR(B10&lt;&gt;"",A10=1),A10,"")</f>
        <v>6</v>
      </c>
      <c r="D10" s="27" t="n">
        <f aca="false">IF(C10="","",Parametros!$C$11+A10*Parametros!$C$9+SUM($B$5:B9)-COUNT($B$5:B9)*Parametros!$C$13+Parametros!$C$12/2)</f>
        <v>1409.38</v>
      </c>
      <c r="E10" s="28" t="n">
        <f aca="false">IF(B10="","",B10-Parametros!$C$13+Parametros!$C$9-Parametros!$C$12)</f>
        <v>246.88</v>
      </c>
      <c r="F10" s="26" t="str">
        <f aca="false">IF(D10="","",IF(D10&lt;=800,"chão",IF(D10&lt;=1400,"mãos",IF(D10&lt;=1700,"olhos","topo"))))</f>
        <v>olhos</v>
      </c>
    </row>
    <row r="11" customFormat="false" ht="15" hidden="false" customHeight="false" outlineLevel="0" collapsed="false">
      <c r="A11" s="19" t="n">
        <v>7</v>
      </c>
      <c r="B11" s="25"/>
      <c r="C11" s="26" t="str">
        <f aca="false">IF(OR(B11&lt;&gt;"",A11=1),A11,"")</f>
        <v/>
      </c>
      <c r="D11" s="27" t="str">
        <f aca="false">IF(C11="","",Parametros!$C$11+A11*Parametros!$C$9+SUM($B$5:B10)-COUNT($B$5:B10)*Parametros!$C$13+Parametros!$C$12/2)</f>
        <v/>
      </c>
      <c r="E11" s="28" t="str">
        <f aca="false">IF(B11="","",B11-Parametros!$C$13+Parametros!$C$9-Parametros!$C$12)</f>
        <v/>
      </c>
      <c r="F11" s="26" t="str">
        <f aca="false">IF(D11="","",IF(D11&lt;=800,"chão",IF(D11&lt;=1400,"mãos",IF(D11&lt;=1700,"olhos","topo"))))</f>
        <v/>
      </c>
    </row>
    <row r="12" customFormat="false" ht="15" hidden="false" customHeight="false" outlineLevel="0" collapsed="false">
      <c r="A12" s="19" t="n">
        <v>8</v>
      </c>
      <c r="B12" s="25"/>
      <c r="C12" s="26" t="str">
        <f aca="false">IF(OR(B12&lt;&gt;"",A12=1),A12,"")</f>
        <v/>
      </c>
      <c r="D12" s="27" t="str">
        <f aca="false">IF(C12="","",Parametros!$C$11+A12*Parametros!$C$9+SUM($B$5:B11)-COUNT($B$5:B11)*Parametros!$C$13+Parametros!$C$12/2)</f>
        <v/>
      </c>
      <c r="E12" s="28" t="str">
        <f aca="false">IF(B12="","",B12-Parametros!$C$13+Parametros!$C$9-Parametros!$C$12)</f>
        <v/>
      </c>
      <c r="F12" s="26" t="str">
        <f aca="false">IF(D12="","",IF(D12&lt;=800,"chão",IF(D12&lt;=1400,"mãos",IF(D12&lt;=1700,"olhos","topo"))))</f>
        <v/>
      </c>
    </row>
    <row r="13" customFormat="false" ht="15" hidden="false" customHeight="false" outlineLevel="0" collapsed="false">
      <c r="A13" s="19" t="s">
        <v>131</v>
      </c>
      <c r="B13" s="29"/>
      <c r="C13" s="26" t="n">
        <f aca="false">COUNT(B5:B12)+1</f>
        <v>7</v>
      </c>
      <c r="D13" s="27" t="n">
        <f aca="false">Parametros!$C$11+C13*Parametros!$C$9+SUM(B5:B12)-COUNT(B5:B12)*Parametros!$C$13+Parametros!$C$12/2</f>
        <v>1671.26</v>
      </c>
      <c r="E13" s="29"/>
      <c r="F13" s="26" t="str">
        <f aca="false">IF(D13&lt;=800,"chão",IF(D13&lt;=1400,"mãos",IF(D13&lt;=1700,"olhos","topo")))</f>
        <v>olhos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5" t="s">
        <v>132</v>
      </c>
      <c r="B15" s="2"/>
      <c r="C15" s="2"/>
      <c r="D15" s="30" t="n">
        <f aca="false">Parametros!$C$11+(COUNT(B5:B12)+1)*Parametros!$C$9+SUM(B5:B12)-COUNT(B5:B12)*Parametros!$C$13</f>
        <v>1663.76</v>
      </c>
      <c r="E15" s="2"/>
      <c r="F15" s="2"/>
    </row>
    <row r="16" customFormat="false" ht="15" hidden="false" customHeight="false" outlineLevel="0" collapsed="false">
      <c r="A16" s="5" t="s">
        <v>133</v>
      </c>
      <c r="B16" s="2"/>
      <c r="C16" s="2"/>
      <c r="D16" s="5" t="n">
        <f aca="false">COUNT(B5:B12)+1</f>
        <v>7</v>
      </c>
      <c r="E16" s="2"/>
      <c r="F16" s="2"/>
    </row>
    <row r="17" customFormat="false" ht="15" hidden="false" customHeight="false" outlineLevel="0" collapsed="false">
      <c r="A17" s="5" t="s">
        <v>134</v>
      </c>
      <c r="B17" s="2"/>
      <c r="C17" s="2"/>
      <c r="D17" s="31" t="n">
        <f aca="false">D15/Profundidade!C7</f>
        <v>3.32579058889378</v>
      </c>
      <c r="E17" s="8" t="s">
        <v>135</v>
      </c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8" t="s">
        <v>136</v>
      </c>
      <c r="B19" s="2"/>
      <c r="C19" s="2"/>
      <c r="D19" s="2"/>
      <c r="E19" s="2"/>
      <c r="F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137</v>
      </c>
      <c r="B1" s="2"/>
      <c r="C1" s="2"/>
      <c r="D1" s="2"/>
      <c r="E1" s="2"/>
    </row>
    <row r="2" customFormat="false" ht="15" hidden="false" customHeight="false" outlineLevel="0" collapsed="false">
      <c r="A2" s="8" t="s">
        <v>138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9" t="s">
        <v>139</v>
      </c>
      <c r="B4" s="9" t="s">
        <v>140</v>
      </c>
      <c r="C4" s="9" t="s">
        <v>141</v>
      </c>
      <c r="D4" s="9" t="s">
        <v>142</v>
      </c>
      <c r="E4" s="9" t="s">
        <v>143</v>
      </c>
    </row>
    <row r="5" customFormat="false" ht="15" hidden="false" customHeight="false" outlineLevel="0" collapsed="false">
      <c r="A5" s="19" t="n">
        <v>200</v>
      </c>
      <c r="B5" s="32" t="str">
        <f aca="false">IF(AND(B$4/$A5&gt;=Parametros!$C$14,B$4/$A5&lt;=Parametros!$C$15),TEXT(B$4/$A5,"0.00")&amp;" ✔","sai · "&amp;TEXT(B$4/$A5,"0.00"))</f>
        <v>1.80 ✔</v>
      </c>
      <c r="C5" s="32" t="str">
        <f aca="false">IF(AND(C$4/$A5&gt;=Parametros!$C$14,C$4/$A5&lt;=Parametros!$C$15),TEXT(C$4/$A5,"0.00")&amp;" ✔","sai · "&amp;TEXT(C$4/$A5,"0.00"))</f>
        <v>2.25 ✔</v>
      </c>
      <c r="D5" s="32" t="str">
        <f aca="false">IF(AND(D$4/$A5&gt;=Parametros!$C$14,D$4/$A5&lt;=Parametros!$C$15),TEXT(D$4/$A5,"0.00")&amp;" ✔","sai · "&amp;TEXT(D$4/$A5,"0.00"))</f>
        <v>sai · 3.17</v>
      </c>
      <c r="E5" s="32" t="str">
        <f aca="false">IF(AND(E$4/$A5&gt;=Parametros!$C$14,E$4/$A5&lt;=Parametros!$C$15),TEXT(E$4/$A5,"0.00")&amp;" ✔","sai · "&amp;TEXT(E$4/$A5,"0.00"))</f>
        <v>sai · 3.77</v>
      </c>
    </row>
    <row r="6" customFormat="false" ht="15" hidden="false" customHeight="false" outlineLevel="0" collapsed="false">
      <c r="A6" s="19" t="n">
        <v>300</v>
      </c>
      <c r="B6" s="32" t="str">
        <f aca="false">IF(AND(B$4/$A6&gt;=Parametros!$C$14,B$4/$A6&lt;=Parametros!$C$15),TEXT(B$4/$A6,"0.00")&amp;" ✔","sai · "&amp;TEXT(B$4/$A6,"0.00"))</f>
        <v>sai · 1.20</v>
      </c>
      <c r="C6" s="32" t="str">
        <f aca="false">IF(AND(C$4/$A6&gt;=Parametros!$C$14,C$4/$A6&lt;=Parametros!$C$15),TEXT(C$4/$A6,"0.00")&amp;" ✔","sai · "&amp;TEXT(C$4/$A6,"0.00"))</f>
        <v>1.50 ✔</v>
      </c>
      <c r="D6" s="32" t="str">
        <f aca="false">IF(AND(D$4/$A6&gt;=Parametros!$C$14,D$4/$A6&lt;=Parametros!$C$15),TEXT(D$4/$A6,"0.00")&amp;" ✔","sai · "&amp;TEXT(D$4/$A6,"0.00"))</f>
        <v>2.11 ✔</v>
      </c>
      <c r="E6" s="32" t="str">
        <f aca="false">IF(AND(E$4/$A6&gt;=Parametros!$C$14,E$4/$A6&lt;=Parametros!$C$15),TEXT(E$4/$A6,"0.00")&amp;" ✔","sai · "&amp;TEXT(E$4/$A6,"0.00"))</f>
        <v>2.51 ✔</v>
      </c>
    </row>
    <row r="7" customFormat="false" ht="15" hidden="false" customHeight="false" outlineLevel="0" collapsed="false">
      <c r="A7" s="19" t="n">
        <v>460</v>
      </c>
      <c r="B7" s="32" t="str">
        <f aca="false">IF(AND(B$4/$A7&gt;=Parametros!$C$14,B$4/$A7&lt;=Parametros!$C$15),TEXT(B$4/$A7,"0.00")&amp;" ✔","sai · "&amp;TEXT(B$4/$A7,"0.00"))</f>
        <v>sai · 0.78</v>
      </c>
      <c r="C7" s="32" t="str">
        <f aca="false">IF(AND(C$4/$A7&gt;=Parametros!$C$14,C$4/$A7&lt;=Parametros!$C$15),TEXT(C$4/$A7,"0.00")&amp;" ✔","sai · "&amp;TEXT(C$4/$A7,"0.00"))</f>
        <v>sai · 0.98</v>
      </c>
      <c r="D7" s="32" t="str">
        <f aca="false">IF(AND(D$4/$A7&gt;=Parametros!$C$14,D$4/$A7&lt;=Parametros!$C$15),TEXT(D$4/$A7,"0.00")&amp;" ✔","sai · "&amp;TEXT(D$4/$A7,"0.00"))</f>
        <v>1.38 ✔</v>
      </c>
      <c r="E7" s="32" t="str">
        <f aca="false">IF(AND(E$4/$A7&gt;=Parametros!$C$14,E$4/$A7&lt;=Parametros!$C$15),TEXT(E$4/$A7,"0.00")&amp;" ✔","sai · "&amp;TEXT(E$4/$A7,"0.00"))</f>
        <v>1.64 ✔</v>
      </c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5" t="s">
        <v>144</v>
      </c>
      <c r="B9" s="5" t="n">
        <f aca="false">SUMPRODUCT(--(RIGHT(B5:E7,1)="✔"))</f>
        <v>7</v>
      </c>
      <c r="C9" s="2"/>
      <c r="D9" s="2"/>
      <c r="E9" s="2"/>
    </row>
    <row r="10" customFormat="false" ht="15" hidden="false" customHeight="false" outlineLevel="0" collapsed="false">
      <c r="A10" s="8" t="s">
        <v>145</v>
      </c>
      <c r="B10" s="2"/>
      <c r="C10" s="2"/>
      <c r="D10" s="2"/>
      <c r="E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13"/>
  </cols>
  <sheetData>
    <row r="1" customFormat="false" ht="17.35" hidden="false" customHeight="false" outlineLevel="0" collapsed="false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8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5" t="s">
        <v>148</v>
      </c>
      <c r="B4" s="2"/>
      <c r="C4" s="2"/>
      <c r="D4" s="2"/>
      <c r="E4" s="33" t="n">
        <v>7</v>
      </c>
      <c r="F4" s="8" t="s">
        <v>149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9" t="s">
        <v>150</v>
      </c>
      <c r="B6" s="9" t="s">
        <v>151</v>
      </c>
      <c r="C6" s="9" t="s">
        <v>152</v>
      </c>
      <c r="D6" s="9" t="s">
        <v>85</v>
      </c>
      <c r="E6" s="9" t="s">
        <v>153</v>
      </c>
      <c r="F6" s="9" t="s">
        <v>104</v>
      </c>
      <c r="G6" s="9" t="s">
        <v>154</v>
      </c>
      <c r="H6" s="9" t="s">
        <v>155</v>
      </c>
      <c r="I6" s="9" t="s">
        <v>156</v>
      </c>
      <c r="J6" s="9" t="s">
        <v>157</v>
      </c>
      <c r="K6" s="9" t="s">
        <v>158</v>
      </c>
      <c r="L6" s="9" t="s">
        <v>159</v>
      </c>
      <c r="M6" s="9" t="s">
        <v>160</v>
      </c>
      <c r="N6" s="9" t="s">
        <v>161</v>
      </c>
      <c r="O6" s="9" t="s">
        <v>162</v>
      </c>
      <c r="P6" s="9" t="s">
        <v>163</v>
      </c>
    </row>
    <row r="7" customFormat="false" ht="15" hidden="false" customHeight="false" outlineLevel="0" collapsed="false">
      <c r="A7" s="11" t="s">
        <v>164</v>
      </c>
      <c r="B7" s="21" t="n">
        <f aca="false">Parametros!$B$20</f>
        <v>200</v>
      </c>
      <c r="C7" s="21" t="n">
        <f aca="false">Parametros!$B$26</f>
        <v>315</v>
      </c>
      <c r="D7" s="16" t="n">
        <v>1</v>
      </c>
      <c r="E7" s="34" t="n">
        <f aca="false">2*Parametros!$C$6+(D7-1)*Parametros!$C$7+D7*(C7-Parametros!$C$13)</f>
        <v>357.02</v>
      </c>
      <c r="F7" s="34" t="n">
        <f aca="false">B7+2*(Parametros!$C$8-Parametros!$C$5)</f>
        <v>285.26</v>
      </c>
      <c r="G7" s="35" t="n">
        <f aca="false">E7*F7/1000000</f>
        <v>0.1018435252</v>
      </c>
      <c r="H7" s="36" t="n">
        <f aca="false">E7/1000</f>
        <v>0.35702</v>
      </c>
      <c r="I7" s="29" t="n">
        <f aca="false">4*$E$4</f>
        <v>28</v>
      </c>
      <c r="J7" s="29" t="n">
        <f aca="false">2*(D7-1)*$E$4</f>
        <v>0</v>
      </c>
      <c r="K7" s="29" t="n">
        <v>0</v>
      </c>
      <c r="L7" s="29" t="n">
        <f aca="false">2*(D7+1)</f>
        <v>4</v>
      </c>
      <c r="M7" s="29" t="n">
        <f aca="false">D7*$E$4</f>
        <v>7</v>
      </c>
      <c r="N7" s="29" t="n">
        <f aca="false">2*D7*$E$4</f>
        <v>14</v>
      </c>
      <c r="O7" s="29" t="n">
        <f aca="false">(D7+1)*$E$4</f>
        <v>14</v>
      </c>
      <c r="P7" s="29" t="n">
        <f aca="false">2*(D7+1)*($E$4-1)</f>
        <v>24</v>
      </c>
    </row>
    <row r="8" customFormat="false" ht="15" hidden="false" customHeight="false" outlineLevel="0" collapsed="false">
      <c r="A8" s="11" t="s">
        <v>164</v>
      </c>
      <c r="B8" s="21" t="n">
        <f aca="false">Parametros!$B$20</f>
        <v>200</v>
      </c>
      <c r="C8" s="21" t="n">
        <f aca="false">Parametros!$B$26</f>
        <v>315</v>
      </c>
      <c r="D8" s="16" t="n">
        <v>2</v>
      </c>
      <c r="E8" s="34" t="n">
        <f aca="false">2*Parametros!$C$6+(D8-1)*Parametros!$C$7+D8*(C8-Parametros!$C$13)</f>
        <v>692.12</v>
      </c>
      <c r="F8" s="34" t="n">
        <f aca="false">B8+2*(Parametros!$C$8-Parametros!$C$5)</f>
        <v>285.26</v>
      </c>
      <c r="G8" s="35" t="n">
        <f aca="false">E8*F8/1000000</f>
        <v>0.1974341512</v>
      </c>
      <c r="H8" s="36" t="n">
        <f aca="false">E8/1000</f>
        <v>0.69212</v>
      </c>
      <c r="I8" s="29" t="n">
        <f aca="false">4*$E$4</f>
        <v>28</v>
      </c>
      <c r="J8" s="29" t="n">
        <f aca="false">2*(D8-1)*$E$4</f>
        <v>14</v>
      </c>
      <c r="K8" s="29" t="n">
        <v>0</v>
      </c>
      <c r="L8" s="29" t="n">
        <f aca="false">2*(D8+1)</f>
        <v>6</v>
      </c>
      <c r="M8" s="29" t="n">
        <f aca="false">D8*$E$4</f>
        <v>14</v>
      </c>
      <c r="N8" s="29" t="n">
        <f aca="false">2*D8*$E$4</f>
        <v>28</v>
      </c>
      <c r="O8" s="29" t="n">
        <f aca="false">(D8+1)*$E$4</f>
        <v>21</v>
      </c>
      <c r="P8" s="29" t="n">
        <f aca="false">2*(D8+1)*($E$4-1)</f>
        <v>36</v>
      </c>
    </row>
    <row r="9" customFormat="false" ht="15" hidden="false" customHeight="false" outlineLevel="0" collapsed="false">
      <c r="A9" s="11" t="s">
        <v>164</v>
      </c>
      <c r="B9" s="21" t="n">
        <f aca="false">Parametros!$B$20</f>
        <v>200</v>
      </c>
      <c r="C9" s="21" t="n">
        <f aca="false">Parametros!$B$26</f>
        <v>315</v>
      </c>
      <c r="D9" s="16" t="n">
        <v>3</v>
      </c>
      <c r="E9" s="34" t="n">
        <f aca="false">2*Parametros!$C$6+(D9-1)*Parametros!$C$7+D9*(C9-Parametros!$C$13)</f>
        <v>1027.22</v>
      </c>
      <c r="F9" s="34" t="n">
        <f aca="false">B9+2*(Parametros!$C$8-Parametros!$C$5)</f>
        <v>285.26</v>
      </c>
      <c r="G9" s="35" t="n">
        <f aca="false">E9*F9/1000000</f>
        <v>0.2930247772</v>
      </c>
      <c r="H9" s="36" t="n">
        <f aca="false">E9/1000</f>
        <v>1.02722</v>
      </c>
      <c r="I9" s="29" t="n">
        <f aca="false">4*$E$4</f>
        <v>28</v>
      </c>
      <c r="J9" s="29" t="n">
        <f aca="false">2*(D9-1)*$E$4</f>
        <v>28</v>
      </c>
      <c r="K9" s="29" t="n">
        <v>0</v>
      </c>
      <c r="L9" s="29" t="n">
        <f aca="false">2*(D9+1)</f>
        <v>8</v>
      </c>
      <c r="M9" s="29" t="n">
        <f aca="false">D9*$E$4</f>
        <v>21</v>
      </c>
      <c r="N9" s="29" t="n">
        <f aca="false">2*D9*$E$4</f>
        <v>42</v>
      </c>
      <c r="O9" s="29" t="n">
        <f aca="false">(D9+1)*$E$4</f>
        <v>28</v>
      </c>
      <c r="P9" s="29" t="n">
        <f aca="false">2*(D9+1)*($E$4-1)</f>
        <v>48</v>
      </c>
    </row>
    <row r="10" customFormat="false" ht="15" hidden="false" customHeight="false" outlineLevel="0" collapsed="false">
      <c r="A10" s="11" t="s">
        <v>164</v>
      </c>
      <c r="B10" s="21" t="n">
        <f aca="false">Parametros!$B$20</f>
        <v>200</v>
      </c>
      <c r="C10" s="21" t="n">
        <f aca="false">Parametros!$B$26</f>
        <v>315</v>
      </c>
      <c r="D10" s="16" t="n">
        <v>4</v>
      </c>
      <c r="E10" s="34" t="n">
        <f aca="false">2*Parametros!$C$6+(D10-1)*Parametros!$C$7+D10*(C10-Parametros!$C$13)</f>
        <v>1362.32</v>
      </c>
      <c r="F10" s="34" t="n">
        <f aca="false">B10+2*(Parametros!$C$8-Parametros!$C$5)</f>
        <v>285.26</v>
      </c>
      <c r="G10" s="35" t="n">
        <f aca="false">E10*F10/1000000</f>
        <v>0.3886154032</v>
      </c>
      <c r="H10" s="36" t="n">
        <f aca="false">E10/1000</f>
        <v>1.36232</v>
      </c>
      <c r="I10" s="29" t="n">
        <f aca="false">4*$E$4</f>
        <v>28</v>
      </c>
      <c r="J10" s="29" t="n">
        <f aca="false">2*(D10-1)*$E$4</f>
        <v>42</v>
      </c>
      <c r="K10" s="29" t="n">
        <v>0</v>
      </c>
      <c r="L10" s="29" t="n">
        <f aca="false">2*(D10+1)</f>
        <v>10</v>
      </c>
      <c r="M10" s="29" t="n">
        <f aca="false">D10*$E$4</f>
        <v>28</v>
      </c>
      <c r="N10" s="29" t="n">
        <f aca="false">2*D10*$E$4</f>
        <v>56</v>
      </c>
      <c r="O10" s="29" t="n">
        <f aca="false">(D10+1)*$E$4</f>
        <v>35</v>
      </c>
      <c r="P10" s="29" t="n">
        <f aca="false">2*(D10+1)*($E$4-1)</f>
        <v>60</v>
      </c>
    </row>
    <row r="11" customFormat="false" ht="15" hidden="false" customHeight="false" outlineLevel="0" collapsed="false">
      <c r="A11" s="11" t="s">
        <v>164</v>
      </c>
      <c r="B11" s="21" t="n">
        <f aca="false">Parametros!$B$20</f>
        <v>200</v>
      </c>
      <c r="C11" s="21" t="n">
        <f aca="false">Parametros!$B$26</f>
        <v>315</v>
      </c>
      <c r="D11" s="16" t="n">
        <v>5</v>
      </c>
      <c r="E11" s="34" t="n">
        <f aca="false">2*Parametros!$C$6+(D11-1)*Parametros!$C$7+D11*(C11-Parametros!$C$13)</f>
        <v>1697.42</v>
      </c>
      <c r="F11" s="34" t="n">
        <f aca="false">B11+2*(Parametros!$C$8-Parametros!$C$5)</f>
        <v>285.26</v>
      </c>
      <c r="G11" s="35" t="n">
        <f aca="false">E11*F11/1000000</f>
        <v>0.4842060292</v>
      </c>
      <c r="H11" s="36" t="n">
        <f aca="false">E11/1000</f>
        <v>1.69742</v>
      </c>
      <c r="I11" s="29" t="n">
        <f aca="false">4*$E$4</f>
        <v>28</v>
      </c>
      <c r="J11" s="29" t="n">
        <f aca="false">2*(D11-1)*$E$4</f>
        <v>56</v>
      </c>
      <c r="K11" s="29" t="n">
        <v>0</v>
      </c>
      <c r="L11" s="29" t="n">
        <f aca="false">2*(D11+1)</f>
        <v>12</v>
      </c>
      <c r="M11" s="29" t="n">
        <f aca="false">D11*$E$4</f>
        <v>35</v>
      </c>
      <c r="N11" s="29" t="n">
        <f aca="false">2*D11*$E$4</f>
        <v>70</v>
      </c>
      <c r="O11" s="29" t="n">
        <f aca="false">(D11+1)*$E$4</f>
        <v>42</v>
      </c>
      <c r="P11" s="29" t="n">
        <f aca="false">2*(D11+1)*($E$4-1)</f>
        <v>72</v>
      </c>
    </row>
    <row r="12" customFormat="false" ht="15" hidden="false" customHeight="false" outlineLevel="0" collapsed="false">
      <c r="A12" s="11" t="s">
        <v>164</v>
      </c>
      <c r="B12" s="21" t="n">
        <f aca="false">Parametros!$B$20</f>
        <v>200</v>
      </c>
      <c r="C12" s="21" t="n">
        <f aca="false">Parametros!$B$26</f>
        <v>315</v>
      </c>
      <c r="D12" s="16" t="n">
        <v>6</v>
      </c>
      <c r="E12" s="34" t="n">
        <f aca="false">2*Parametros!$C$6+(D12-1)*Parametros!$C$7+D12*(C12-Parametros!$C$13)</f>
        <v>2032.52</v>
      </c>
      <c r="F12" s="34" t="n">
        <f aca="false">B12+2*(Parametros!$C$8-Parametros!$C$5)</f>
        <v>285.26</v>
      </c>
      <c r="G12" s="35" t="n">
        <f aca="false">E12*F12/1000000</f>
        <v>0.5797966552</v>
      </c>
      <c r="H12" s="36" t="n">
        <f aca="false">E12/1000</f>
        <v>2.03252</v>
      </c>
      <c r="I12" s="29" t="n">
        <f aca="false">4*$E$4</f>
        <v>28</v>
      </c>
      <c r="J12" s="29" t="n">
        <f aca="false">2*(D12-1)*$E$4</f>
        <v>70</v>
      </c>
      <c r="K12" s="29" t="n">
        <v>0</v>
      </c>
      <c r="L12" s="29" t="n">
        <f aca="false">2*(D12+1)</f>
        <v>14</v>
      </c>
      <c r="M12" s="29" t="n">
        <f aca="false">D12*$E$4</f>
        <v>42</v>
      </c>
      <c r="N12" s="29" t="n">
        <f aca="false">2*D12*$E$4</f>
        <v>84</v>
      </c>
      <c r="O12" s="29" t="n">
        <f aca="false">(D12+1)*$E$4</f>
        <v>49</v>
      </c>
      <c r="P12" s="29" t="n">
        <f aca="false">2*(D12+1)*($E$4-1)</f>
        <v>84</v>
      </c>
    </row>
    <row r="13" customFormat="false" ht="15" hidden="false" customHeight="false" outlineLevel="0" collapsed="false">
      <c r="A13" s="11" t="s">
        <v>164</v>
      </c>
      <c r="B13" s="21" t="n">
        <f aca="false">Parametros!$B$20</f>
        <v>200</v>
      </c>
      <c r="C13" s="21" t="n">
        <f aca="false">Parametros!$B$26</f>
        <v>315</v>
      </c>
      <c r="D13" s="16" t="n">
        <v>7</v>
      </c>
      <c r="E13" s="34" t="n">
        <f aca="false">2*Parametros!$C$6+(D13-1)*Parametros!$C$7+D13*(C13-Parametros!$C$13)</f>
        <v>2367.62</v>
      </c>
      <c r="F13" s="34" t="n">
        <f aca="false">B13+2*(Parametros!$C$8-Parametros!$C$5)</f>
        <v>285.26</v>
      </c>
      <c r="G13" s="35" t="n">
        <f aca="false">E13*F13/1000000</f>
        <v>0.6753872812</v>
      </c>
      <c r="H13" s="36" t="n">
        <f aca="false">E13/1000</f>
        <v>2.36762</v>
      </c>
      <c r="I13" s="29" t="n">
        <f aca="false">4*$E$4</f>
        <v>28</v>
      </c>
      <c r="J13" s="29" t="n">
        <f aca="false">2*(D13-1)*$E$4</f>
        <v>84</v>
      </c>
      <c r="K13" s="29" t="n">
        <v>0</v>
      </c>
      <c r="L13" s="29" t="n">
        <f aca="false">2*(D13+1)</f>
        <v>16</v>
      </c>
      <c r="M13" s="29" t="n">
        <f aca="false">D13*$E$4</f>
        <v>49</v>
      </c>
      <c r="N13" s="29" t="n">
        <f aca="false">2*D13*$E$4</f>
        <v>98</v>
      </c>
      <c r="O13" s="29" t="n">
        <f aca="false">(D13+1)*$E$4</f>
        <v>56</v>
      </c>
      <c r="P13" s="29" t="n">
        <f aca="false">2*(D13+1)*($E$4-1)</f>
        <v>96</v>
      </c>
    </row>
    <row r="14" customFormat="false" ht="15" hidden="false" customHeight="false" outlineLevel="0" collapsed="false">
      <c r="A14" s="11" t="s">
        <v>164</v>
      </c>
      <c r="B14" s="21" t="n">
        <f aca="false">Parametros!$B$20</f>
        <v>200</v>
      </c>
      <c r="C14" s="21" t="n">
        <f aca="false">Parametros!$B$26</f>
        <v>315</v>
      </c>
      <c r="D14" s="16" t="n">
        <v>8</v>
      </c>
      <c r="E14" s="34" t="n">
        <f aca="false">2*Parametros!$C$6+(D14-1)*Parametros!$C$7+D14*(C14-Parametros!$C$13)</f>
        <v>2702.72</v>
      </c>
      <c r="F14" s="34" t="n">
        <f aca="false">B14+2*(Parametros!$C$8-Parametros!$C$5)</f>
        <v>285.26</v>
      </c>
      <c r="G14" s="35" t="n">
        <f aca="false">E14*F14/1000000</f>
        <v>0.7709779072</v>
      </c>
      <c r="H14" s="36" t="n">
        <f aca="false">E14/1000</f>
        <v>2.70272</v>
      </c>
      <c r="I14" s="29" t="n">
        <f aca="false">4*$E$4</f>
        <v>28</v>
      </c>
      <c r="J14" s="29" t="n">
        <f aca="false">2*(D14-1)*$E$4</f>
        <v>98</v>
      </c>
      <c r="K14" s="29" t="n">
        <v>0</v>
      </c>
      <c r="L14" s="29" t="n">
        <f aca="false">2*(D14+1)</f>
        <v>18</v>
      </c>
      <c r="M14" s="29" t="n">
        <f aca="false">D14*$E$4</f>
        <v>56</v>
      </c>
      <c r="N14" s="29" t="n">
        <f aca="false">2*D14*$E$4</f>
        <v>112</v>
      </c>
      <c r="O14" s="29" t="n">
        <f aca="false">(D14+1)*$E$4</f>
        <v>63</v>
      </c>
      <c r="P14" s="29" t="n">
        <f aca="false">2*(D14+1)*($E$4-1)</f>
        <v>108</v>
      </c>
    </row>
    <row r="15" customFormat="false" ht="15" hidden="false" customHeight="false" outlineLevel="0" collapsed="false">
      <c r="A15" s="11" t="s">
        <v>164</v>
      </c>
      <c r="B15" s="21" t="n">
        <f aca="false">Parametros!$B$20</f>
        <v>200</v>
      </c>
      <c r="C15" s="21" t="n">
        <f aca="false">Parametros!$B$26</f>
        <v>315</v>
      </c>
      <c r="D15" s="16" t="n">
        <v>9</v>
      </c>
      <c r="E15" s="34" t="n">
        <f aca="false">2*Parametros!$C$6+(D15-1)*Parametros!$C$7+D15*(C15-Parametros!$C$13)</f>
        <v>3037.82</v>
      </c>
      <c r="F15" s="34" t="n">
        <f aca="false">B15+2*(Parametros!$C$8-Parametros!$C$5)</f>
        <v>285.26</v>
      </c>
      <c r="G15" s="35" t="n">
        <f aca="false">E15*F15/1000000</f>
        <v>0.8665685332</v>
      </c>
      <c r="H15" s="36" t="n">
        <f aca="false">E15/1000</f>
        <v>3.03782</v>
      </c>
      <c r="I15" s="29" t="n">
        <f aca="false">4*$E$4</f>
        <v>28</v>
      </c>
      <c r="J15" s="29" t="n">
        <f aca="false">2*(D15-1)*$E$4</f>
        <v>112</v>
      </c>
      <c r="K15" s="29" t="n">
        <v>0</v>
      </c>
      <c r="L15" s="29" t="n">
        <f aca="false">2*(D15+1)</f>
        <v>20</v>
      </c>
      <c r="M15" s="29" t="n">
        <f aca="false">D15*$E$4</f>
        <v>63</v>
      </c>
      <c r="N15" s="29" t="n">
        <f aca="false">2*D15*$E$4</f>
        <v>126</v>
      </c>
      <c r="O15" s="29" t="n">
        <f aca="false">(D15+1)*$E$4</f>
        <v>70</v>
      </c>
      <c r="P15" s="29" t="n">
        <f aca="false">2*(D15+1)*($E$4-1)</f>
        <v>120</v>
      </c>
    </row>
    <row r="16" customFormat="false" ht="15" hidden="false" customHeight="false" outlineLevel="0" collapsed="false">
      <c r="A16" s="11" t="s">
        <v>164</v>
      </c>
      <c r="B16" s="21" t="n">
        <f aca="false">Parametros!$B$20</f>
        <v>200</v>
      </c>
      <c r="C16" s="21" t="n">
        <f aca="false">Parametros!$B$26</f>
        <v>315</v>
      </c>
      <c r="D16" s="16" t="n">
        <v>10</v>
      </c>
      <c r="E16" s="34" t="n">
        <f aca="false">2*Parametros!$C$6+(D16-1)*Parametros!$C$7+D16*(C16-Parametros!$C$13)</f>
        <v>3372.92</v>
      </c>
      <c r="F16" s="34" t="n">
        <f aca="false">B16+2*(Parametros!$C$8-Parametros!$C$5)</f>
        <v>285.26</v>
      </c>
      <c r="G16" s="35" t="n">
        <f aca="false">E16*F16/1000000</f>
        <v>0.9621591592</v>
      </c>
      <c r="H16" s="36" t="n">
        <f aca="false">E16/1000</f>
        <v>3.37292</v>
      </c>
      <c r="I16" s="29" t="n">
        <f aca="false">4*$E$4</f>
        <v>28</v>
      </c>
      <c r="J16" s="29" t="n">
        <f aca="false">2*(D16-1)*$E$4</f>
        <v>126</v>
      </c>
      <c r="K16" s="29" t="n">
        <v>0</v>
      </c>
      <c r="L16" s="29" t="n">
        <f aca="false">2*(D16+1)</f>
        <v>22</v>
      </c>
      <c r="M16" s="29" t="n">
        <f aca="false">D16*$E$4</f>
        <v>70</v>
      </c>
      <c r="N16" s="29" t="n">
        <f aca="false">2*D16*$E$4</f>
        <v>140</v>
      </c>
      <c r="O16" s="29" t="n">
        <f aca="false">(D16+1)*$E$4</f>
        <v>77</v>
      </c>
      <c r="P16" s="29" t="n">
        <f aca="false">2*(D16+1)*($E$4-1)</f>
        <v>132</v>
      </c>
    </row>
    <row r="17" customFormat="false" ht="15" hidden="false" customHeight="false" outlineLevel="0" collapsed="false">
      <c r="A17" s="11" t="s">
        <v>164</v>
      </c>
      <c r="B17" s="21" t="n">
        <f aca="false">Parametros!$B$20</f>
        <v>200</v>
      </c>
      <c r="C17" s="21" t="n">
        <f aca="false">Parametros!$B$26</f>
        <v>315</v>
      </c>
      <c r="D17" s="16" t="n">
        <v>11</v>
      </c>
      <c r="E17" s="34" t="n">
        <f aca="false">2*Parametros!$C$6+(D17-1)*Parametros!$C$7+D17*(C17-Parametros!$C$13)</f>
        <v>3708.02</v>
      </c>
      <c r="F17" s="34" t="n">
        <f aca="false">B17+2*(Parametros!$C$8-Parametros!$C$5)</f>
        <v>285.26</v>
      </c>
      <c r="G17" s="35" t="n">
        <f aca="false">E17*F17/1000000</f>
        <v>1.0577497852</v>
      </c>
      <c r="H17" s="36" t="n">
        <f aca="false">E17/1000</f>
        <v>3.70802</v>
      </c>
      <c r="I17" s="29" t="n">
        <f aca="false">4*$E$4</f>
        <v>28</v>
      </c>
      <c r="J17" s="29" t="n">
        <f aca="false">2*(D17-1)*$E$4</f>
        <v>140</v>
      </c>
      <c r="K17" s="29" t="n">
        <v>0</v>
      </c>
      <c r="L17" s="29" t="n">
        <f aca="false">2*(D17+1)</f>
        <v>24</v>
      </c>
      <c r="M17" s="29" t="n">
        <f aca="false">D17*$E$4</f>
        <v>77</v>
      </c>
      <c r="N17" s="29" t="n">
        <f aca="false">2*D17*$E$4</f>
        <v>154</v>
      </c>
      <c r="O17" s="29" t="n">
        <f aca="false">(D17+1)*$E$4</f>
        <v>84</v>
      </c>
      <c r="P17" s="29" t="n">
        <f aca="false">2*(D17+1)*($E$4-1)</f>
        <v>144</v>
      </c>
    </row>
    <row r="18" customFormat="false" ht="15" hidden="false" customHeight="false" outlineLevel="0" collapsed="false">
      <c r="A18" s="11" t="s">
        <v>164</v>
      </c>
      <c r="B18" s="21" t="n">
        <f aca="false">Parametros!$B$20</f>
        <v>200</v>
      </c>
      <c r="C18" s="21" t="n">
        <f aca="false">Parametros!$B$26</f>
        <v>315</v>
      </c>
      <c r="D18" s="16" t="n">
        <v>12</v>
      </c>
      <c r="E18" s="34" t="n">
        <f aca="false">2*Parametros!$C$6+(D18-1)*Parametros!$C$7+D18*(C18-Parametros!$C$13)</f>
        <v>4043.12</v>
      </c>
      <c r="F18" s="34" t="n">
        <f aca="false">B18+2*(Parametros!$C$8-Parametros!$C$5)</f>
        <v>285.26</v>
      </c>
      <c r="G18" s="35" t="n">
        <f aca="false">E18*F18/1000000</f>
        <v>1.1533404112</v>
      </c>
      <c r="H18" s="36" t="n">
        <f aca="false">E18/1000</f>
        <v>4.04312</v>
      </c>
      <c r="I18" s="29" t="n">
        <f aca="false">4*$E$4</f>
        <v>28</v>
      </c>
      <c r="J18" s="29" t="n">
        <f aca="false">2*(D18-1)*$E$4</f>
        <v>154</v>
      </c>
      <c r="K18" s="29" t="n">
        <v>0</v>
      </c>
      <c r="L18" s="29" t="n">
        <f aca="false">2*(D18+1)</f>
        <v>26</v>
      </c>
      <c r="M18" s="29" t="n">
        <f aca="false">D18*$E$4</f>
        <v>84</v>
      </c>
      <c r="N18" s="29" t="n">
        <f aca="false">2*D18*$E$4</f>
        <v>168</v>
      </c>
      <c r="O18" s="29" t="n">
        <f aca="false">(D18+1)*$E$4</f>
        <v>91</v>
      </c>
      <c r="P18" s="29" t="n">
        <f aca="false">2*(D18+1)*($E$4-1)</f>
        <v>156</v>
      </c>
    </row>
    <row r="19" customFormat="false" ht="15" hidden="false" customHeight="false" outlineLevel="0" collapsed="false">
      <c r="A19" s="11" t="s">
        <v>164</v>
      </c>
      <c r="B19" s="21" t="n">
        <f aca="false">Parametros!$B$20</f>
        <v>200</v>
      </c>
      <c r="C19" s="21" t="n">
        <f aca="false">Parametros!$B$26</f>
        <v>315</v>
      </c>
      <c r="D19" s="16" t="n">
        <v>13</v>
      </c>
      <c r="E19" s="34" t="n">
        <f aca="false">2*Parametros!$C$6+(D19-1)*Parametros!$C$7+D19*(C19-Parametros!$C$13)</f>
        <v>4378.22</v>
      </c>
      <c r="F19" s="34" t="n">
        <f aca="false">B19+2*(Parametros!$C$8-Parametros!$C$5)</f>
        <v>285.26</v>
      </c>
      <c r="G19" s="35" t="n">
        <f aca="false">E19*F19/1000000</f>
        <v>1.2489310372</v>
      </c>
      <c r="H19" s="36" t="n">
        <f aca="false">E19/1000</f>
        <v>4.37822</v>
      </c>
      <c r="I19" s="29" t="n">
        <f aca="false">4*$E$4</f>
        <v>28</v>
      </c>
      <c r="J19" s="29" t="n">
        <f aca="false">2*(D19-1)*$E$4</f>
        <v>168</v>
      </c>
      <c r="K19" s="29" t="n">
        <v>0</v>
      </c>
      <c r="L19" s="29" t="n">
        <f aca="false">2*(D19+1)</f>
        <v>28</v>
      </c>
      <c r="M19" s="29" t="n">
        <f aca="false">D19*$E$4</f>
        <v>91</v>
      </c>
      <c r="N19" s="29" t="n">
        <f aca="false">2*D19*$E$4</f>
        <v>182</v>
      </c>
      <c r="O19" s="29" t="n">
        <f aca="false">(D19+1)*$E$4</f>
        <v>98</v>
      </c>
      <c r="P19" s="29" t="n">
        <f aca="false">2*(D19+1)*($E$4-1)</f>
        <v>168</v>
      </c>
    </row>
    <row r="20" customFormat="false" ht="15" hidden="false" customHeight="false" outlineLevel="0" collapsed="false">
      <c r="A20" s="11" t="s">
        <v>164</v>
      </c>
      <c r="B20" s="21" t="n">
        <f aca="false">Parametros!$B$20</f>
        <v>200</v>
      </c>
      <c r="C20" s="21" t="n">
        <f aca="false">Parametros!$B$26</f>
        <v>315</v>
      </c>
      <c r="D20" s="16" t="n">
        <v>14</v>
      </c>
      <c r="E20" s="34" t="n">
        <f aca="false">2*Parametros!$C$6+(D20-1)*Parametros!$C$7+D20*(C20-Parametros!$C$13)</f>
        <v>4713.32</v>
      </c>
      <c r="F20" s="34" t="n">
        <f aca="false">B20+2*(Parametros!$C$8-Parametros!$C$5)</f>
        <v>285.26</v>
      </c>
      <c r="G20" s="35" t="n">
        <f aca="false">E20*F20/1000000</f>
        <v>1.3445216632</v>
      </c>
      <c r="H20" s="36" t="n">
        <f aca="false">E20/1000</f>
        <v>4.71332</v>
      </c>
      <c r="I20" s="29" t="n">
        <f aca="false">4*$E$4</f>
        <v>28</v>
      </c>
      <c r="J20" s="29" t="n">
        <f aca="false">2*(D20-1)*$E$4</f>
        <v>182</v>
      </c>
      <c r="K20" s="29" t="n">
        <v>0</v>
      </c>
      <c r="L20" s="29" t="n">
        <f aca="false">2*(D20+1)</f>
        <v>30</v>
      </c>
      <c r="M20" s="29" t="n">
        <f aca="false">D20*$E$4</f>
        <v>98</v>
      </c>
      <c r="N20" s="29" t="n">
        <f aca="false">2*D20*$E$4</f>
        <v>196</v>
      </c>
      <c r="O20" s="29" t="n">
        <f aca="false">(D20+1)*$E$4</f>
        <v>105</v>
      </c>
      <c r="P20" s="29" t="n">
        <f aca="false">2*(D20+1)*($E$4-1)</f>
        <v>180</v>
      </c>
    </row>
    <row r="21" customFormat="false" ht="15" hidden="false" customHeight="false" outlineLevel="0" collapsed="false">
      <c r="A21" s="11" t="s">
        <v>164</v>
      </c>
      <c r="B21" s="21" t="n">
        <f aca="false">Parametros!$B$20</f>
        <v>200</v>
      </c>
      <c r="C21" s="21" t="n">
        <f aca="false">Parametros!$B$26</f>
        <v>315</v>
      </c>
      <c r="D21" s="16" t="n">
        <v>15</v>
      </c>
      <c r="E21" s="34" t="n">
        <f aca="false">2*Parametros!$C$6+(D21-1)*Parametros!$C$7+D21*(C21-Parametros!$C$13)</f>
        <v>5048.42</v>
      </c>
      <c r="F21" s="34" t="n">
        <f aca="false">B21+2*(Parametros!$C$8-Parametros!$C$5)</f>
        <v>285.26</v>
      </c>
      <c r="G21" s="35" t="n">
        <f aca="false">E21*F21/1000000</f>
        <v>1.4401122892</v>
      </c>
      <c r="H21" s="36" t="n">
        <f aca="false">E21/1000</f>
        <v>5.04842</v>
      </c>
      <c r="I21" s="29" t="n">
        <f aca="false">4*$E$4</f>
        <v>28</v>
      </c>
      <c r="J21" s="29" t="n">
        <f aca="false">2*(D21-1)*$E$4</f>
        <v>196</v>
      </c>
      <c r="K21" s="29" t="n">
        <v>0</v>
      </c>
      <c r="L21" s="29" t="n">
        <f aca="false">2*(D21+1)</f>
        <v>32</v>
      </c>
      <c r="M21" s="29" t="n">
        <f aca="false">D21*$E$4</f>
        <v>105</v>
      </c>
      <c r="N21" s="29" t="n">
        <f aca="false">2*D21*$E$4</f>
        <v>210</v>
      </c>
      <c r="O21" s="29" t="n">
        <f aca="false">(D21+1)*$E$4</f>
        <v>112</v>
      </c>
      <c r="P21" s="29" t="n">
        <f aca="false">2*(D21+1)*($E$4-1)</f>
        <v>192</v>
      </c>
    </row>
    <row r="22" customFormat="false" ht="15" hidden="false" customHeight="false" outlineLevel="0" collapsed="false">
      <c r="A22" s="11" t="s">
        <v>164</v>
      </c>
      <c r="B22" s="21" t="n">
        <f aca="false">Parametros!$B$20</f>
        <v>200</v>
      </c>
      <c r="C22" s="21" t="n">
        <f aca="false">Parametros!$B$26</f>
        <v>315</v>
      </c>
      <c r="D22" s="16" t="n">
        <v>16</v>
      </c>
      <c r="E22" s="34" t="n">
        <f aca="false">2*Parametros!$C$6+(D22-1)*Parametros!$C$7+D22*(C22-Parametros!$C$13)</f>
        <v>5383.52</v>
      </c>
      <c r="F22" s="34" t="n">
        <f aca="false">B22+2*(Parametros!$C$8-Parametros!$C$5)</f>
        <v>285.26</v>
      </c>
      <c r="G22" s="35" t="n">
        <f aca="false">E22*F22/1000000</f>
        <v>1.5357029152</v>
      </c>
      <c r="H22" s="36" t="n">
        <f aca="false">E22/1000</f>
        <v>5.38352</v>
      </c>
      <c r="I22" s="29" t="n">
        <f aca="false">4*$E$4</f>
        <v>28</v>
      </c>
      <c r="J22" s="29" t="n">
        <f aca="false">2*(D22-1)*$E$4</f>
        <v>210</v>
      </c>
      <c r="K22" s="29" t="n">
        <v>0</v>
      </c>
      <c r="L22" s="29" t="n">
        <f aca="false">2*(D22+1)</f>
        <v>34</v>
      </c>
      <c r="M22" s="29" t="n">
        <f aca="false">D22*$E$4</f>
        <v>112</v>
      </c>
      <c r="N22" s="29" t="n">
        <f aca="false">2*D22*$E$4</f>
        <v>224</v>
      </c>
      <c r="O22" s="29" t="n">
        <f aca="false">(D22+1)*$E$4</f>
        <v>119</v>
      </c>
      <c r="P22" s="29" t="n">
        <f aca="false">2*(D22+1)*($E$4-1)</f>
        <v>204</v>
      </c>
    </row>
    <row r="23" customFormat="false" ht="15" hidden="false" customHeight="false" outlineLevel="0" collapsed="false">
      <c r="A23" s="11" t="s">
        <v>164</v>
      </c>
      <c r="B23" s="21" t="n">
        <f aca="false">Parametros!$B$20</f>
        <v>200</v>
      </c>
      <c r="C23" s="21" t="n">
        <f aca="false">Parametros!$B$26</f>
        <v>315</v>
      </c>
      <c r="D23" s="16" t="n">
        <v>17</v>
      </c>
      <c r="E23" s="34" t="n">
        <f aca="false">2*Parametros!$C$6+(D23-1)*Parametros!$C$7+D23*(C23-Parametros!$C$13)</f>
        <v>5718.62</v>
      </c>
      <c r="F23" s="34" t="n">
        <f aca="false">B23+2*(Parametros!$C$8-Parametros!$C$5)</f>
        <v>285.26</v>
      </c>
      <c r="G23" s="35" t="n">
        <f aca="false">E23*F23/1000000</f>
        <v>1.6312935412</v>
      </c>
      <c r="H23" s="36" t="n">
        <f aca="false">E23/1000</f>
        <v>5.71862</v>
      </c>
      <c r="I23" s="29" t="n">
        <f aca="false">4*$E$4</f>
        <v>28</v>
      </c>
      <c r="J23" s="29" t="n">
        <f aca="false">2*(D23-1)*$E$4</f>
        <v>224</v>
      </c>
      <c r="K23" s="29" t="n">
        <v>0</v>
      </c>
      <c r="L23" s="29" t="n">
        <f aca="false">2*(D23+1)</f>
        <v>36</v>
      </c>
      <c r="M23" s="29" t="n">
        <f aca="false">D23*$E$4</f>
        <v>119</v>
      </c>
      <c r="N23" s="29" t="n">
        <f aca="false">2*D23*$E$4</f>
        <v>238</v>
      </c>
      <c r="O23" s="29" t="n">
        <f aca="false">(D23+1)*$E$4</f>
        <v>126</v>
      </c>
      <c r="P23" s="29" t="n">
        <f aca="false">2*(D23+1)*($E$4-1)</f>
        <v>216</v>
      </c>
    </row>
    <row r="24" customFormat="false" ht="15" hidden="false" customHeight="false" outlineLevel="0" collapsed="false">
      <c r="A24" s="11" t="s">
        <v>164</v>
      </c>
      <c r="B24" s="21" t="n">
        <f aca="false">Parametros!$B$20</f>
        <v>200</v>
      </c>
      <c r="C24" s="21" t="n">
        <f aca="false">Parametros!$B$26</f>
        <v>315</v>
      </c>
      <c r="D24" s="16" t="n">
        <v>18</v>
      </c>
      <c r="E24" s="34" t="n">
        <f aca="false">2*Parametros!$C$6+(D24-1)*Parametros!$C$7+D24*(C24-Parametros!$C$13)</f>
        <v>6053.72</v>
      </c>
      <c r="F24" s="34" t="n">
        <f aca="false">B24+2*(Parametros!$C$8-Parametros!$C$5)</f>
        <v>285.26</v>
      </c>
      <c r="G24" s="35" t="n">
        <f aca="false">E24*F24/1000000</f>
        <v>1.7268841672</v>
      </c>
      <c r="H24" s="36" t="n">
        <f aca="false">E24/1000</f>
        <v>6.05372</v>
      </c>
      <c r="I24" s="29" t="n">
        <f aca="false">4*$E$4</f>
        <v>28</v>
      </c>
      <c r="J24" s="29" t="n">
        <f aca="false">2*(D24-1)*$E$4</f>
        <v>238</v>
      </c>
      <c r="K24" s="29" t="n">
        <v>0</v>
      </c>
      <c r="L24" s="29" t="n">
        <f aca="false">2*(D24+1)</f>
        <v>38</v>
      </c>
      <c r="M24" s="29" t="n">
        <f aca="false">D24*$E$4</f>
        <v>126</v>
      </c>
      <c r="N24" s="29" t="n">
        <f aca="false">2*D24*$E$4</f>
        <v>252</v>
      </c>
      <c r="O24" s="29" t="n">
        <f aca="false">(D24+1)*$E$4</f>
        <v>133</v>
      </c>
      <c r="P24" s="29" t="n">
        <f aca="false">2*(D24+1)*($E$4-1)</f>
        <v>228</v>
      </c>
    </row>
    <row r="25" customFormat="false" ht="15" hidden="false" customHeight="false" outlineLevel="0" collapsed="false">
      <c r="A25" s="11" t="s">
        <v>165</v>
      </c>
      <c r="B25" s="21" t="n">
        <f aca="false">Parametros!$B$20</f>
        <v>200</v>
      </c>
      <c r="C25" s="21" t="n">
        <f aca="false">Parametros!$B$27</f>
        <v>415</v>
      </c>
      <c r="D25" s="16" t="n">
        <v>1</v>
      </c>
      <c r="E25" s="34" t="n">
        <f aca="false">2*Parametros!$C$6+(D25-1)*Parametros!$C$7+D25*(C25-Parametros!$C$13)</f>
        <v>457.02</v>
      </c>
      <c r="F25" s="34" t="n">
        <f aca="false">B25+2*(Parametros!$C$8-Parametros!$C$5)</f>
        <v>285.26</v>
      </c>
      <c r="G25" s="35" t="n">
        <f aca="false">E25*F25/1000000</f>
        <v>0.1303695252</v>
      </c>
      <c r="H25" s="36" t="n">
        <f aca="false">E25/1000</f>
        <v>0.45702</v>
      </c>
      <c r="I25" s="29" t="n">
        <f aca="false">4*$E$4</f>
        <v>28</v>
      </c>
      <c r="J25" s="29" t="n">
        <f aca="false">2*(D25-1)*$E$4</f>
        <v>0</v>
      </c>
      <c r="K25" s="29" t="n">
        <v>0</v>
      </c>
      <c r="L25" s="29" t="n">
        <f aca="false">2*(D25+1)</f>
        <v>4</v>
      </c>
      <c r="M25" s="29" t="n">
        <f aca="false">D25*$E$4</f>
        <v>7</v>
      </c>
      <c r="N25" s="29" t="n">
        <f aca="false">2*D25*$E$4</f>
        <v>14</v>
      </c>
      <c r="O25" s="29" t="n">
        <f aca="false">(D25+1)*$E$4</f>
        <v>14</v>
      </c>
      <c r="P25" s="29" t="n">
        <f aca="false">2*(D25+1)*($E$4-1)</f>
        <v>24</v>
      </c>
    </row>
    <row r="26" customFormat="false" ht="15" hidden="false" customHeight="false" outlineLevel="0" collapsed="false">
      <c r="A26" s="11" t="s">
        <v>165</v>
      </c>
      <c r="B26" s="21" t="n">
        <f aca="false">Parametros!$B$20</f>
        <v>200</v>
      </c>
      <c r="C26" s="21" t="n">
        <f aca="false">Parametros!$B$27</f>
        <v>415</v>
      </c>
      <c r="D26" s="16" t="n">
        <v>2</v>
      </c>
      <c r="E26" s="34" t="n">
        <f aca="false">2*Parametros!$C$6+(D26-1)*Parametros!$C$7+D26*(C26-Parametros!$C$13)</f>
        <v>892.12</v>
      </c>
      <c r="F26" s="34" t="n">
        <f aca="false">B26+2*(Parametros!$C$8-Parametros!$C$5)</f>
        <v>285.26</v>
      </c>
      <c r="G26" s="35" t="n">
        <f aca="false">E26*F26/1000000</f>
        <v>0.2544861512</v>
      </c>
      <c r="H26" s="36" t="n">
        <f aca="false">E26/1000</f>
        <v>0.89212</v>
      </c>
      <c r="I26" s="29" t="n">
        <f aca="false">4*$E$4</f>
        <v>28</v>
      </c>
      <c r="J26" s="29" t="n">
        <f aca="false">2*(D26-1)*$E$4</f>
        <v>14</v>
      </c>
      <c r="K26" s="29" t="n">
        <v>0</v>
      </c>
      <c r="L26" s="29" t="n">
        <f aca="false">2*(D26+1)</f>
        <v>6</v>
      </c>
      <c r="M26" s="29" t="n">
        <f aca="false">D26*$E$4</f>
        <v>14</v>
      </c>
      <c r="N26" s="29" t="n">
        <f aca="false">2*D26*$E$4</f>
        <v>28</v>
      </c>
      <c r="O26" s="29" t="n">
        <f aca="false">(D26+1)*$E$4</f>
        <v>21</v>
      </c>
      <c r="P26" s="29" t="n">
        <f aca="false">2*(D26+1)*($E$4-1)</f>
        <v>36</v>
      </c>
    </row>
    <row r="27" customFormat="false" ht="15" hidden="false" customHeight="false" outlineLevel="0" collapsed="false">
      <c r="A27" s="11" t="s">
        <v>165</v>
      </c>
      <c r="B27" s="21" t="n">
        <f aca="false">Parametros!$B$20</f>
        <v>200</v>
      </c>
      <c r="C27" s="21" t="n">
        <f aca="false">Parametros!$B$27</f>
        <v>415</v>
      </c>
      <c r="D27" s="16" t="n">
        <v>3</v>
      </c>
      <c r="E27" s="34" t="n">
        <f aca="false">2*Parametros!$C$6+(D27-1)*Parametros!$C$7+D27*(C27-Parametros!$C$13)</f>
        <v>1327.22</v>
      </c>
      <c r="F27" s="34" t="n">
        <f aca="false">B27+2*(Parametros!$C$8-Parametros!$C$5)</f>
        <v>285.26</v>
      </c>
      <c r="G27" s="35" t="n">
        <f aca="false">E27*F27/1000000</f>
        <v>0.3786027772</v>
      </c>
      <c r="H27" s="36" t="n">
        <f aca="false">E27/1000</f>
        <v>1.32722</v>
      </c>
      <c r="I27" s="29" t="n">
        <f aca="false">4*$E$4</f>
        <v>28</v>
      </c>
      <c r="J27" s="29" t="n">
        <f aca="false">2*(D27-1)*$E$4</f>
        <v>28</v>
      </c>
      <c r="K27" s="29" t="n">
        <v>0</v>
      </c>
      <c r="L27" s="29" t="n">
        <f aca="false">2*(D27+1)</f>
        <v>8</v>
      </c>
      <c r="M27" s="29" t="n">
        <f aca="false">D27*$E$4</f>
        <v>21</v>
      </c>
      <c r="N27" s="29" t="n">
        <f aca="false">2*D27*$E$4</f>
        <v>42</v>
      </c>
      <c r="O27" s="29" t="n">
        <f aca="false">(D27+1)*$E$4</f>
        <v>28</v>
      </c>
      <c r="P27" s="29" t="n">
        <f aca="false">2*(D27+1)*($E$4-1)</f>
        <v>48</v>
      </c>
    </row>
    <row r="28" customFormat="false" ht="15" hidden="false" customHeight="false" outlineLevel="0" collapsed="false">
      <c r="A28" s="11" t="s">
        <v>165</v>
      </c>
      <c r="B28" s="21" t="n">
        <f aca="false">Parametros!$B$20</f>
        <v>200</v>
      </c>
      <c r="C28" s="21" t="n">
        <f aca="false">Parametros!$B$27</f>
        <v>415</v>
      </c>
      <c r="D28" s="16" t="n">
        <v>4</v>
      </c>
      <c r="E28" s="34" t="n">
        <f aca="false">2*Parametros!$C$6+(D28-1)*Parametros!$C$7+D28*(C28-Parametros!$C$13)</f>
        <v>1762.32</v>
      </c>
      <c r="F28" s="34" t="n">
        <f aca="false">B28+2*(Parametros!$C$8-Parametros!$C$5)</f>
        <v>285.26</v>
      </c>
      <c r="G28" s="35" t="n">
        <f aca="false">E28*F28/1000000</f>
        <v>0.5027194032</v>
      </c>
      <c r="H28" s="36" t="n">
        <f aca="false">E28/1000</f>
        <v>1.76232</v>
      </c>
      <c r="I28" s="29" t="n">
        <f aca="false">4*$E$4</f>
        <v>28</v>
      </c>
      <c r="J28" s="29" t="n">
        <f aca="false">2*(D28-1)*$E$4</f>
        <v>42</v>
      </c>
      <c r="K28" s="29" t="n">
        <v>0</v>
      </c>
      <c r="L28" s="29" t="n">
        <f aca="false">2*(D28+1)</f>
        <v>10</v>
      </c>
      <c r="M28" s="29" t="n">
        <f aca="false">D28*$E$4</f>
        <v>28</v>
      </c>
      <c r="N28" s="29" t="n">
        <f aca="false">2*D28*$E$4</f>
        <v>56</v>
      </c>
      <c r="O28" s="29" t="n">
        <f aca="false">(D28+1)*$E$4</f>
        <v>35</v>
      </c>
      <c r="P28" s="29" t="n">
        <f aca="false">2*(D28+1)*($E$4-1)</f>
        <v>60</v>
      </c>
    </row>
    <row r="29" customFormat="false" ht="15" hidden="false" customHeight="false" outlineLevel="0" collapsed="false">
      <c r="A29" s="11" t="s">
        <v>165</v>
      </c>
      <c r="B29" s="21" t="n">
        <f aca="false">Parametros!$B$20</f>
        <v>200</v>
      </c>
      <c r="C29" s="21" t="n">
        <f aca="false">Parametros!$B$27</f>
        <v>415</v>
      </c>
      <c r="D29" s="16" t="n">
        <v>5</v>
      </c>
      <c r="E29" s="34" t="n">
        <f aca="false">2*Parametros!$C$6+(D29-1)*Parametros!$C$7+D29*(C29-Parametros!$C$13)</f>
        <v>2197.42</v>
      </c>
      <c r="F29" s="34" t="n">
        <f aca="false">B29+2*(Parametros!$C$8-Parametros!$C$5)</f>
        <v>285.26</v>
      </c>
      <c r="G29" s="35" t="n">
        <f aca="false">E29*F29/1000000</f>
        <v>0.6268360292</v>
      </c>
      <c r="H29" s="36" t="n">
        <f aca="false">E29/1000</f>
        <v>2.19742</v>
      </c>
      <c r="I29" s="29" t="n">
        <f aca="false">4*$E$4</f>
        <v>28</v>
      </c>
      <c r="J29" s="29" t="n">
        <f aca="false">2*(D29-1)*$E$4</f>
        <v>56</v>
      </c>
      <c r="K29" s="29" t="n">
        <v>0</v>
      </c>
      <c r="L29" s="29" t="n">
        <f aca="false">2*(D29+1)</f>
        <v>12</v>
      </c>
      <c r="M29" s="29" t="n">
        <f aca="false">D29*$E$4</f>
        <v>35</v>
      </c>
      <c r="N29" s="29" t="n">
        <f aca="false">2*D29*$E$4</f>
        <v>70</v>
      </c>
      <c r="O29" s="29" t="n">
        <f aca="false">(D29+1)*$E$4</f>
        <v>42</v>
      </c>
      <c r="P29" s="29" t="n">
        <f aca="false">2*(D29+1)*($E$4-1)</f>
        <v>72</v>
      </c>
    </row>
    <row r="30" customFormat="false" ht="15" hidden="false" customHeight="false" outlineLevel="0" collapsed="false">
      <c r="A30" s="11" t="s">
        <v>165</v>
      </c>
      <c r="B30" s="21" t="n">
        <f aca="false">Parametros!$B$20</f>
        <v>200</v>
      </c>
      <c r="C30" s="21" t="n">
        <f aca="false">Parametros!$B$27</f>
        <v>415</v>
      </c>
      <c r="D30" s="16" t="n">
        <v>6</v>
      </c>
      <c r="E30" s="34" t="n">
        <f aca="false">2*Parametros!$C$6+(D30-1)*Parametros!$C$7+D30*(C30-Parametros!$C$13)</f>
        <v>2632.52</v>
      </c>
      <c r="F30" s="34" t="n">
        <f aca="false">B30+2*(Parametros!$C$8-Parametros!$C$5)</f>
        <v>285.26</v>
      </c>
      <c r="G30" s="35" t="n">
        <f aca="false">E30*F30/1000000</f>
        <v>0.7509526552</v>
      </c>
      <c r="H30" s="36" t="n">
        <f aca="false">E30/1000</f>
        <v>2.63252</v>
      </c>
      <c r="I30" s="29" t="n">
        <f aca="false">4*$E$4</f>
        <v>28</v>
      </c>
      <c r="J30" s="29" t="n">
        <f aca="false">2*(D30-1)*$E$4</f>
        <v>70</v>
      </c>
      <c r="K30" s="29" t="n">
        <v>0</v>
      </c>
      <c r="L30" s="29" t="n">
        <f aca="false">2*(D30+1)</f>
        <v>14</v>
      </c>
      <c r="M30" s="29" t="n">
        <f aca="false">D30*$E$4</f>
        <v>42</v>
      </c>
      <c r="N30" s="29" t="n">
        <f aca="false">2*D30*$E$4</f>
        <v>84</v>
      </c>
      <c r="O30" s="29" t="n">
        <f aca="false">(D30+1)*$E$4</f>
        <v>49</v>
      </c>
      <c r="P30" s="29" t="n">
        <f aca="false">2*(D30+1)*($E$4-1)</f>
        <v>84</v>
      </c>
    </row>
    <row r="31" customFormat="false" ht="15" hidden="false" customHeight="false" outlineLevel="0" collapsed="false">
      <c r="A31" s="11" t="s">
        <v>165</v>
      </c>
      <c r="B31" s="21" t="n">
        <f aca="false">Parametros!$B$20</f>
        <v>200</v>
      </c>
      <c r="C31" s="21" t="n">
        <f aca="false">Parametros!$B$27</f>
        <v>415</v>
      </c>
      <c r="D31" s="16" t="n">
        <v>7</v>
      </c>
      <c r="E31" s="34" t="n">
        <f aca="false">2*Parametros!$C$6+(D31-1)*Parametros!$C$7+D31*(C31-Parametros!$C$13)</f>
        <v>3067.62</v>
      </c>
      <c r="F31" s="34" t="n">
        <f aca="false">B31+2*(Parametros!$C$8-Parametros!$C$5)</f>
        <v>285.26</v>
      </c>
      <c r="G31" s="35" t="n">
        <f aca="false">E31*F31/1000000</f>
        <v>0.8750692812</v>
      </c>
      <c r="H31" s="36" t="n">
        <f aca="false">E31/1000</f>
        <v>3.06762</v>
      </c>
      <c r="I31" s="29" t="n">
        <f aca="false">4*$E$4</f>
        <v>28</v>
      </c>
      <c r="J31" s="29" t="n">
        <f aca="false">2*(D31-1)*$E$4</f>
        <v>84</v>
      </c>
      <c r="K31" s="29" t="n">
        <v>0</v>
      </c>
      <c r="L31" s="29" t="n">
        <f aca="false">2*(D31+1)</f>
        <v>16</v>
      </c>
      <c r="M31" s="29" t="n">
        <f aca="false">D31*$E$4</f>
        <v>49</v>
      </c>
      <c r="N31" s="29" t="n">
        <f aca="false">2*D31*$E$4</f>
        <v>98</v>
      </c>
      <c r="O31" s="29" t="n">
        <f aca="false">(D31+1)*$E$4</f>
        <v>56</v>
      </c>
      <c r="P31" s="29" t="n">
        <f aca="false">2*(D31+1)*($E$4-1)</f>
        <v>96</v>
      </c>
    </row>
    <row r="32" customFormat="false" ht="15" hidden="false" customHeight="false" outlineLevel="0" collapsed="false">
      <c r="A32" s="11" t="s">
        <v>165</v>
      </c>
      <c r="B32" s="21" t="n">
        <f aca="false">Parametros!$B$20</f>
        <v>200</v>
      </c>
      <c r="C32" s="21" t="n">
        <f aca="false">Parametros!$B$27</f>
        <v>415</v>
      </c>
      <c r="D32" s="16" t="n">
        <v>8</v>
      </c>
      <c r="E32" s="34" t="n">
        <f aca="false">2*Parametros!$C$6+(D32-1)*Parametros!$C$7+D32*(C32-Parametros!$C$13)</f>
        <v>3502.72</v>
      </c>
      <c r="F32" s="34" t="n">
        <f aca="false">B32+2*(Parametros!$C$8-Parametros!$C$5)</f>
        <v>285.26</v>
      </c>
      <c r="G32" s="35" t="n">
        <f aca="false">E32*F32/1000000</f>
        <v>0.9991859072</v>
      </c>
      <c r="H32" s="36" t="n">
        <f aca="false">E32/1000</f>
        <v>3.50272</v>
      </c>
      <c r="I32" s="29" t="n">
        <f aca="false">4*$E$4</f>
        <v>28</v>
      </c>
      <c r="J32" s="29" t="n">
        <f aca="false">2*(D32-1)*$E$4</f>
        <v>98</v>
      </c>
      <c r="K32" s="29" t="n">
        <v>0</v>
      </c>
      <c r="L32" s="29" t="n">
        <f aca="false">2*(D32+1)</f>
        <v>18</v>
      </c>
      <c r="M32" s="29" t="n">
        <f aca="false">D32*$E$4</f>
        <v>56</v>
      </c>
      <c r="N32" s="29" t="n">
        <f aca="false">2*D32*$E$4</f>
        <v>112</v>
      </c>
      <c r="O32" s="29" t="n">
        <f aca="false">(D32+1)*$E$4</f>
        <v>63</v>
      </c>
      <c r="P32" s="29" t="n">
        <f aca="false">2*(D32+1)*($E$4-1)</f>
        <v>108</v>
      </c>
    </row>
    <row r="33" customFormat="false" ht="15" hidden="false" customHeight="false" outlineLevel="0" collapsed="false">
      <c r="A33" s="11" t="s">
        <v>165</v>
      </c>
      <c r="B33" s="21" t="n">
        <f aca="false">Parametros!$B$20</f>
        <v>200</v>
      </c>
      <c r="C33" s="21" t="n">
        <f aca="false">Parametros!$B$27</f>
        <v>415</v>
      </c>
      <c r="D33" s="16" t="n">
        <v>9</v>
      </c>
      <c r="E33" s="34" t="n">
        <f aca="false">2*Parametros!$C$6+(D33-1)*Parametros!$C$7+D33*(C33-Parametros!$C$13)</f>
        <v>3937.82</v>
      </c>
      <c r="F33" s="34" t="n">
        <f aca="false">B33+2*(Parametros!$C$8-Parametros!$C$5)</f>
        <v>285.26</v>
      </c>
      <c r="G33" s="35" t="n">
        <f aca="false">E33*F33/1000000</f>
        <v>1.1233025332</v>
      </c>
      <c r="H33" s="36" t="n">
        <f aca="false">E33/1000</f>
        <v>3.93782</v>
      </c>
      <c r="I33" s="29" t="n">
        <f aca="false">4*$E$4</f>
        <v>28</v>
      </c>
      <c r="J33" s="29" t="n">
        <f aca="false">2*(D33-1)*$E$4</f>
        <v>112</v>
      </c>
      <c r="K33" s="29" t="n">
        <v>0</v>
      </c>
      <c r="L33" s="29" t="n">
        <f aca="false">2*(D33+1)</f>
        <v>20</v>
      </c>
      <c r="M33" s="29" t="n">
        <f aca="false">D33*$E$4</f>
        <v>63</v>
      </c>
      <c r="N33" s="29" t="n">
        <f aca="false">2*D33*$E$4</f>
        <v>126</v>
      </c>
      <c r="O33" s="29" t="n">
        <f aca="false">(D33+1)*$E$4</f>
        <v>70</v>
      </c>
      <c r="P33" s="29" t="n">
        <f aca="false">2*(D33+1)*($E$4-1)</f>
        <v>120</v>
      </c>
    </row>
    <row r="34" customFormat="false" ht="15" hidden="false" customHeight="false" outlineLevel="0" collapsed="false">
      <c r="A34" s="11" t="s">
        <v>165</v>
      </c>
      <c r="B34" s="21" t="n">
        <f aca="false">Parametros!$B$20</f>
        <v>200</v>
      </c>
      <c r="C34" s="21" t="n">
        <f aca="false">Parametros!$B$27</f>
        <v>415</v>
      </c>
      <c r="D34" s="16" t="n">
        <v>10</v>
      </c>
      <c r="E34" s="34" t="n">
        <f aca="false">2*Parametros!$C$6+(D34-1)*Parametros!$C$7+D34*(C34-Parametros!$C$13)</f>
        <v>4372.92</v>
      </c>
      <c r="F34" s="34" t="n">
        <f aca="false">B34+2*(Parametros!$C$8-Parametros!$C$5)</f>
        <v>285.26</v>
      </c>
      <c r="G34" s="35" t="n">
        <f aca="false">E34*F34/1000000</f>
        <v>1.2474191592</v>
      </c>
      <c r="H34" s="36" t="n">
        <f aca="false">E34/1000</f>
        <v>4.37292</v>
      </c>
      <c r="I34" s="29" t="n">
        <f aca="false">4*$E$4</f>
        <v>28</v>
      </c>
      <c r="J34" s="29" t="n">
        <f aca="false">2*(D34-1)*$E$4</f>
        <v>126</v>
      </c>
      <c r="K34" s="29" t="n">
        <v>0</v>
      </c>
      <c r="L34" s="29" t="n">
        <f aca="false">2*(D34+1)</f>
        <v>22</v>
      </c>
      <c r="M34" s="29" t="n">
        <f aca="false">D34*$E$4</f>
        <v>70</v>
      </c>
      <c r="N34" s="29" t="n">
        <f aca="false">2*D34*$E$4</f>
        <v>140</v>
      </c>
      <c r="O34" s="29" t="n">
        <f aca="false">(D34+1)*$E$4</f>
        <v>77</v>
      </c>
      <c r="P34" s="29" t="n">
        <f aca="false">2*(D34+1)*($E$4-1)</f>
        <v>132</v>
      </c>
    </row>
    <row r="35" customFormat="false" ht="15" hidden="false" customHeight="false" outlineLevel="0" collapsed="false">
      <c r="A35" s="11" t="s">
        <v>165</v>
      </c>
      <c r="B35" s="21" t="n">
        <f aca="false">Parametros!$B$20</f>
        <v>200</v>
      </c>
      <c r="C35" s="21" t="n">
        <f aca="false">Parametros!$B$27</f>
        <v>415</v>
      </c>
      <c r="D35" s="16" t="n">
        <v>11</v>
      </c>
      <c r="E35" s="34" t="n">
        <f aca="false">2*Parametros!$C$6+(D35-1)*Parametros!$C$7+D35*(C35-Parametros!$C$13)</f>
        <v>4808.02</v>
      </c>
      <c r="F35" s="34" t="n">
        <f aca="false">B35+2*(Parametros!$C$8-Parametros!$C$5)</f>
        <v>285.26</v>
      </c>
      <c r="G35" s="35" t="n">
        <f aca="false">E35*F35/1000000</f>
        <v>1.3715357852</v>
      </c>
      <c r="H35" s="36" t="n">
        <f aca="false">E35/1000</f>
        <v>4.80802</v>
      </c>
      <c r="I35" s="29" t="n">
        <f aca="false">4*$E$4</f>
        <v>28</v>
      </c>
      <c r="J35" s="29" t="n">
        <f aca="false">2*(D35-1)*$E$4</f>
        <v>140</v>
      </c>
      <c r="K35" s="29" t="n">
        <v>0</v>
      </c>
      <c r="L35" s="29" t="n">
        <f aca="false">2*(D35+1)</f>
        <v>24</v>
      </c>
      <c r="M35" s="29" t="n">
        <f aca="false">D35*$E$4</f>
        <v>77</v>
      </c>
      <c r="N35" s="29" t="n">
        <f aca="false">2*D35*$E$4</f>
        <v>154</v>
      </c>
      <c r="O35" s="29" t="n">
        <f aca="false">(D35+1)*$E$4</f>
        <v>84</v>
      </c>
      <c r="P35" s="29" t="n">
        <f aca="false">2*(D35+1)*($E$4-1)</f>
        <v>144</v>
      </c>
    </row>
    <row r="36" customFormat="false" ht="15" hidden="false" customHeight="false" outlineLevel="0" collapsed="false">
      <c r="A36" s="11" t="s">
        <v>165</v>
      </c>
      <c r="B36" s="21" t="n">
        <f aca="false">Parametros!$B$20</f>
        <v>200</v>
      </c>
      <c r="C36" s="21" t="n">
        <f aca="false">Parametros!$B$27</f>
        <v>415</v>
      </c>
      <c r="D36" s="16" t="n">
        <v>12</v>
      </c>
      <c r="E36" s="34" t="n">
        <f aca="false">2*Parametros!$C$6+(D36-1)*Parametros!$C$7+D36*(C36-Parametros!$C$13)</f>
        <v>5243.12</v>
      </c>
      <c r="F36" s="34" t="n">
        <f aca="false">B36+2*(Parametros!$C$8-Parametros!$C$5)</f>
        <v>285.26</v>
      </c>
      <c r="G36" s="35" t="n">
        <f aca="false">E36*F36/1000000</f>
        <v>1.4956524112</v>
      </c>
      <c r="H36" s="36" t="n">
        <f aca="false">E36/1000</f>
        <v>5.24312</v>
      </c>
      <c r="I36" s="29" t="n">
        <f aca="false">4*$E$4</f>
        <v>28</v>
      </c>
      <c r="J36" s="29" t="n">
        <f aca="false">2*(D36-1)*$E$4</f>
        <v>154</v>
      </c>
      <c r="K36" s="29" t="n">
        <v>0</v>
      </c>
      <c r="L36" s="29" t="n">
        <f aca="false">2*(D36+1)</f>
        <v>26</v>
      </c>
      <c r="M36" s="29" t="n">
        <f aca="false">D36*$E$4</f>
        <v>84</v>
      </c>
      <c r="N36" s="29" t="n">
        <f aca="false">2*D36*$E$4</f>
        <v>168</v>
      </c>
      <c r="O36" s="29" t="n">
        <f aca="false">(D36+1)*$E$4</f>
        <v>91</v>
      </c>
      <c r="P36" s="29" t="n">
        <f aca="false">2*(D36+1)*($E$4-1)</f>
        <v>156</v>
      </c>
    </row>
    <row r="37" customFormat="false" ht="15" hidden="false" customHeight="false" outlineLevel="0" collapsed="false">
      <c r="A37" s="11" t="s">
        <v>165</v>
      </c>
      <c r="B37" s="21" t="n">
        <f aca="false">Parametros!$B$20</f>
        <v>200</v>
      </c>
      <c r="C37" s="21" t="n">
        <f aca="false">Parametros!$B$27</f>
        <v>415</v>
      </c>
      <c r="D37" s="16" t="n">
        <v>13</v>
      </c>
      <c r="E37" s="34" t="n">
        <f aca="false">2*Parametros!$C$6+(D37-1)*Parametros!$C$7+D37*(C37-Parametros!$C$13)</f>
        <v>5678.22</v>
      </c>
      <c r="F37" s="34" t="n">
        <f aca="false">B37+2*(Parametros!$C$8-Parametros!$C$5)</f>
        <v>285.26</v>
      </c>
      <c r="G37" s="35" t="n">
        <f aca="false">E37*F37/1000000</f>
        <v>1.6197690372</v>
      </c>
      <c r="H37" s="36" t="n">
        <f aca="false">E37/1000</f>
        <v>5.67822</v>
      </c>
      <c r="I37" s="29" t="n">
        <f aca="false">4*$E$4</f>
        <v>28</v>
      </c>
      <c r="J37" s="29" t="n">
        <f aca="false">2*(D37-1)*$E$4</f>
        <v>168</v>
      </c>
      <c r="K37" s="29" t="n">
        <v>0</v>
      </c>
      <c r="L37" s="29" t="n">
        <f aca="false">2*(D37+1)</f>
        <v>28</v>
      </c>
      <c r="M37" s="29" t="n">
        <f aca="false">D37*$E$4</f>
        <v>91</v>
      </c>
      <c r="N37" s="29" t="n">
        <f aca="false">2*D37*$E$4</f>
        <v>182</v>
      </c>
      <c r="O37" s="29" t="n">
        <f aca="false">(D37+1)*$E$4</f>
        <v>98</v>
      </c>
      <c r="P37" s="29" t="n">
        <f aca="false">2*(D37+1)*($E$4-1)</f>
        <v>168</v>
      </c>
    </row>
    <row r="38" customFormat="false" ht="15" hidden="false" customHeight="false" outlineLevel="0" collapsed="false">
      <c r="A38" s="11" t="s">
        <v>165</v>
      </c>
      <c r="B38" s="21" t="n">
        <f aca="false">Parametros!$B$20</f>
        <v>200</v>
      </c>
      <c r="C38" s="21" t="n">
        <f aca="false">Parametros!$B$27</f>
        <v>415</v>
      </c>
      <c r="D38" s="16" t="n">
        <v>14</v>
      </c>
      <c r="E38" s="34" t="n">
        <f aca="false">2*Parametros!$C$6+(D38-1)*Parametros!$C$7+D38*(C38-Parametros!$C$13)</f>
        <v>6113.32</v>
      </c>
      <c r="F38" s="34" t="n">
        <f aca="false">B38+2*(Parametros!$C$8-Parametros!$C$5)</f>
        <v>285.26</v>
      </c>
      <c r="G38" s="35" t="n">
        <f aca="false">E38*F38/1000000</f>
        <v>1.7438856632</v>
      </c>
      <c r="H38" s="36" t="n">
        <f aca="false">E38/1000</f>
        <v>6.11332</v>
      </c>
      <c r="I38" s="29" t="n">
        <f aca="false">4*$E$4</f>
        <v>28</v>
      </c>
      <c r="J38" s="29" t="n">
        <f aca="false">2*(D38-1)*$E$4</f>
        <v>182</v>
      </c>
      <c r="K38" s="29" t="n">
        <v>0</v>
      </c>
      <c r="L38" s="29" t="n">
        <f aca="false">2*(D38+1)</f>
        <v>30</v>
      </c>
      <c r="M38" s="29" t="n">
        <f aca="false">D38*$E$4</f>
        <v>98</v>
      </c>
      <c r="N38" s="29" t="n">
        <f aca="false">2*D38*$E$4</f>
        <v>196</v>
      </c>
      <c r="O38" s="29" t="n">
        <f aca="false">(D38+1)*$E$4</f>
        <v>105</v>
      </c>
      <c r="P38" s="29" t="n">
        <f aca="false">2*(D38+1)*($E$4-1)</f>
        <v>180</v>
      </c>
    </row>
    <row r="39" customFormat="false" ht="15" hidden="false" customHeight="false" outlineLevel="0" collapsed="false">
      <c r="A39" s="11" t="s">
        <v>165</v>
      </c>
      <c r="B39" s="21" t="n">
        <f aca="false">Parametros!$B$20</f>
        <v>200</v>
      </c>
      <c r="C39" s="21" t="n">
        <f aca="false">Parametros!$B$27</f>
        <v>415</v>
      </c>
      <c r="D39" s="16" t="n">
        <v>15</v>
      </c>
      <c r="E39" s="34" t="n">
        <f aca="false">2*Parametros!$C$6+(D39-1)*Parametros!$C$7+D39*(C39-Parametros!$C$13)</f>
        <v>6548.42</v>
      </c>
      <c r="F39" s="34" t="n">
        <f aca="false">B39+2*(Parametros!$C$8-Parametros!$C$5)</f>
        <v>285.26</v>
      </c>
      <c r="G39" s="35" t="n">
        <f aca="false">E39*F39/1000000</f>
        <v>1.8680022892</v>
      </c>
      <c r="H39" s="36" t="n">
        <f aca="false">E39/1000</f>
        <v>6.54842</v>
      </c>
      <c r="I39" s="29" t="n">
        <f aca="false">4*$E$4</f>
        <v>28</v>
      </c>
      <c r="J39" s="29" t="n">
        <f aca="false">2*(D39-1)*$E$4</f>
        <v>196</v>
      </c>
      <c r="K39" s="29" t="n">
        <v>0</v>
      </c>
      <c r="L39" s="29" t="n">
        <f aca="false">2*(D39+1)</f>
        <v>32</v>
      </c>
      <c r="M39" s="29" t="n">
        <f aca="false">D39*$E$4</f>
        <v>105</v>
      </c>
      <c r="N39" s="29" t="n">
        <f aca="false">2*D39*$E$4</f>
        <v>210</v>
      </c>
      <c r="O39" s="29" t="n">
        <f aca="false">(D39+1)*$E$4</f>
        <v>112</v>
      </c>
      <c r="P39" s="29" t="n">
        <f aca="false">2*(D39+1)*($E$4-1)</f>
        <v>192</v>
      </c>
    </row>
    <row r="40" customFormat="false" ht="15" hidden="false" customHeight="false" outlineLevel="0" collapsed="false">
      <c r="A40" s="11" t="s">
        <v>165</v>
      </c>
      <c r="B40" s="21" t="n">
        <f aca="false">Parametros!$B$20</f>
        <v>200</v>
      </c>
      <c r="C40" s="21" t="n">
        <f aca="false">Parametros!$B$27</f>
        <v>415</v>
      </c>
      <c r="D40" s="16" t="n">
        <v>16</v>
      </c>
      <c r="E40" s="34" t="n">
        <f aca="false">2*Parametros!$C$6+(D40-1)*Parametros!$C$7+D40*(C40-Parametros!$C$13)</f>
        <v>6983.52</v>
      </c>
      <c r="F40" s="34" t="n">
        <f aca="false">B40+2*(Parametros!$C$8-Parametros!$C$5)</f>
        <v>285.26</v>
      </c>
      <c r="G40" s="35" t="n">
        <f aca="false">E40*F40/1000000</f>
        <v>1.9921189152</v>
      </c>
      <c r="H40" s="36" t="n">
        <f aca="false">E40/1000</f>
        <v>6.98352</v>
      </c>
      <c r="I40" s="29" t="n">
        <f aca="false">4*$E$4</f>
        <v>28</v>
      </c>
      <c r="J40" s="29" t="n">
        <f aca="false">2*(D40-1)*$E$4</f>
        <v>210</v>
      </c>
      <c r="K40" s="29" t="n">
        <v>0</v>
      </c>
      <c r="L40" s="29" t="n">
        <f aca="false">2*(D40+1)</f>
        <v>34</v>
      </c>
      <c r="M40" s="29" t="n">
        <f aca="false">D40*$E$4</f>
        <v>112</v>
      </c>
      <c r="N40" s="29" t="n">
        <f aca="false">2*D40*$E$4</f>
        <v>224</v>
      </c>
      <c r="O40" s="29" t="n">
        <f aca="false">(D40+1)*$E$4</f>
        <v>119</v>
      </c>
      <c r="P40" s="29" t="n">
        <f aca="false">2*(D40+1)*($E$4-1)</f>
        <v>204</v>
      </c>
    </row>
    <row r="41" customFormat="false" ht="15" hidden="false" customHeight="false" outlineLevel="0" collapsed="false">
      <c r="A41" s="11" t="s">
        <v>165</v>
      </c>
      <c r="B41" s="21" t="n">
        <f aca="false">Parametros!$B$20</f>
        <v>200</v>
      </c>
      <c r="C41" s="21" t="n">
        <f aca="false">Parametros!$B$27</f>
        <v>415</v>
      </c>
      <c r="D41" s="16" t="n">
        <v>17</v>
      </c>
      <c r="E41" s="34" t="n">
        <f aca="false">2*Parametros!$C$6+(D41-1)*Parametros!$C$7+D41*(C41-Parametros!$C$13)</f>
        <v>7418.62</v>
      </c>
      <c r="F41" s="34" t="n">
        <f aca="false">B41+2*(Parametros!$C$8-Parametros!$C$5)</f>
        <v>285.26</v>
      </c>
      <c r="G41" s="35" t="n">
        <f aca="false">E41*F41/1000000</f>
        <v>2.1162355412</v>
      </c>
      <c r="H41" s="36" t="n">
        <f aca="false">E41/1000</f>
        <v>7.41862</v>
      </c>
      <c r="I41" s="29" t="n">
        <f aca="false">4*$E$4</f>
        <v>28</v>
      </c>
      <c r="J41" s="29" t="n">
        <f aca="false">2*(D41-1)*$E$4</f>
        <v>224</v>
      </c>
      <c r="K41" s="29" t="n">
        <v>0</v>
      </c>
      <c r="L41" s="29" t="n">
        <f aca="false">2*(D41+1)</f>
        <v>36</v>
      </c>
      <c r="M41" s="29" t="n">
        <f aca="false">D41*$E$4</f>
        <v>119</v>
      </c>
      <c r="N41" s="29" t="n">
        <f aca="false">2*D41*$E$4</f>
        <v>238</v>
      </c>
      <c r="O41" s="29" t="n">
        <f aca="false">(D41+1)*$E$4</f>
        <v>126</v>
      </c>
      <c r="P41" s="29" t="n">
        <f aca="false">2*(D41+1)*($E$4-1)</f>
        <v>216</v>
      </c>
    </row>
    <row r="42" customFormat="false" ht="15" hidden="false" customHeight="false" outlineLevel="0" collapsed="false">
      <c r="A42" s="11" t="s">
        <v>165</v>
      </c>
      <c r="B42" s="21" t="n">
        <f aca="false">Parametros!$B$20</f>
        <v>200</v>
      </c>
      <c r="C42" s="21" t="n">
        <f aca="false">Parametros!$B$27</f>
        <v>415</v>
      </c>
      <c r="D42" s="16" t="n">
        <v>18</v>
      </c>
      <c r="E42" s="34" t="n">
        <f aca="false">2*Parametros!$C$6+(D42-1)*Parametros!$C$7+D42*(C42-Parametros!$C$13)</f>
        <v>7853.72</v>
      </c>
      <c r="F42" s="34" t="n">
        <f aca="false">B42+2*(Parametros!$C$8-Parametros!$C$5)</f>
        <v>285.26</v>
      </c>
      <c r="G42" s="35" t="n">
        <f aca="false">E42*F42/1000000</f>
        <v>2.2403521672</v>
      </c>
      <c r="H42" s="36" t="n">
        <f aca="false">E42/1000</f>
        <v>7.85372</v>
      </c>
      <c r="I42" s="29" t="n">
        <f aca="false">4*$E$4</f>
        <v>28</v>
      </c>
      <c r="J42" s="29" t="n">
        <f aca="false">2*(D42-1)*$E$4</f>
        <v>238</v>
      </c>
      <c r="K42" s="29" t="n">
        <v>0</v>
      </c>
      <c r="L42" s="29" t="n">
        <f aca="false">2*(D42+1)</f>
        <v>38</v>
      </c>
      <c r="M42" s="29" t="n">
        <f aca="false">D42*$E$4</f>
        <v>126</v>
      </c>
      <c r="N42" s="29" t="n">
        <f aca="false">2*D42*$E$4</f>
        <v>252</v>
      </c>
      <c r="O42" s="29" t="n">
        <f aca="false">(D42+1)*$E$4</f>
        <v>133</v>
      </c>
      <c r="P42" s="29" t="n">
        <f aca="false">2*(D42+1)*($E$4-1)</f>
        <v>228</v>
      </c>
    </row>
    <row r="43" customFormat="false" ht="15" hidden="false" customHeight="false" outlineLevel="0" collapsed="false">
      <c r="A43" s="11" t="s">
        <v>166</v>
      </c>
      <c r="B43" s="21" t="n">
        <f aca="false">Parametros!$B$21</f>
        <v>287</v>
      </c>
      <c r="C43" s="21" t="n">
        <f aca="false">Parametros!$B$27</f>
        <v>415</v>
      </c>
      <c r="D43" s="16" t="n">
        <v>1</v>
      </c>
      <c r="E43" s="34" t="n">
        <f aca="false">2*Parametros!$C$6+(D43-1)*Parametros!$C$7+D43*(C43-Parametros!$C$13)</f>
        <v>457.02</v>
      </c>
      <c r="F43" s="34" t="n">
        <f aca="false">B43+2*(Parametros!$C$8-Parametros!$C$5)</f>
        <v>372.26</v>
      </c>
      <c r="G43" s="35" t="n">
        <f aca="false">E43*F43/1000000</f>
        <v>0.1701302652</v>
      </c>
      <c r="H43" s="36" t="n">
        <f aca="false">E43/1000</f>
        <v>0.45702</v>
      </c>
      <c r="I43" s="29" t="n">
        <f aca="false">4*$E$4</f>
        <v>28</v>
      </c>
      <c r="J43" s="29" t="n">
        <f aca="false">2*(D43-1)*$E$4</f>
        <v>0</v>
      </c>
      <c r="K43" s="29" t="n">
        <v>0</v>
      </c>
      <c r="L43" s="29" t="n">
        <f aca="false">2*(D43+1)</f>
        <v>4</v>
      </c>
      <c r="M43" s="29" t="n">
        <f aca="false">D43*$E$4</f>
        <v>7</v>
      </c>
      <c r="N43" s="29" t="n">
        <f aca="false">2*D43*$E$4</f>
        <v>14</v>
      </c>
      <c r="O43" s="29" t="n">
        <f aca="false">(D43+1)*$E$4</f>
        <v>14</v>
      </c>
      <c r="P43" s="29" t="n">
        <f aca="false">2*(D43+1)*($E$4-1)</f>
        <v>24</v>
      </c>
    </row>
    <row r="44" customFormat="false" ht="15" hidden="false" customHeight="false" outlineLevel="0" collapsed="false">
      <c r="A44" s="11" t="s">
        <v>166</v>
      </c>
      <c r="B44" s="21" t="n">
        <f aca="false">Parametros!$B$21</f>
        <v>287</v>
      </c>
      <c r="C44" s="21" t="n">
        <f aca="false">Parametros!$B$27</f>
        <v>415</v>
      </c>
      <c r="D44" s="16" t="n">
        <v>2</v>
      </c>
      <c r="E44" s="34" t="n">
        <f aca="false">2*Parametros!$C$6+(D44-1)*Parametros!$C$7+D44*(C44-Parametros!$C$13)</f>
        <v>892.12</v>
      </c>
      <c r="F44" s="34" t="n">
        <f aca="false">B44+2*(Parametros!$C$8-Parametros!$C$5)</f>
        <v>372.26</v>
      </c>
      <c r="G44" s="35" t="n">
        <f aca="false">E44*F44/1000000</f>
        <v>0.3321005912</v>
      </c>
      <c r="H44" s="36" t="n">
        <f aca="false">E44/1000</f>
        <v>0.89212</v>
      </c>
      <c r="I44" s="29" t="n">
        <f aca="false">4*$E$4</f>
        <v>28</v>
      </c>
      <c r="J44" s="29" t="n">
        <f aca="false">2*(D44-1)*$E$4</f>
        <v>14</v>
      </c>
      <c r="K44" s="29" t="n">
        <v>0</v>
      </c>
      <c r="L44" s="29" t="n">
        <f aca="false">2*(D44+1)</f>
        <v>6</v>
      </c>
      <c r="M44" s="29" t="n">
        <f aca="false">D44*$E$4</f>
        <v>14</v>
      </c>
      <c r="N44" s="29" t="n">
        <f aca="false">2*D44*$E$4</f>
        <v>28</v>
      </c>
      <c r="O44" s="29" t="n">
        <f aca="false">(D44+1)*$E$4</f>
        <v>21</v>
      </c>
      <c r="P44" s="29" t="n">
        <f aca="false">2*(D44+1)*($E$4-1)</f>
        <v>36</v>
      </c>
    </row>
    <row r="45" customFormat="false" ht="15" hidden="false" customHeight="false" outlineLevel="0" collapsed="false">
      <c r="A45" s="11" t="s">
        <v>166</v>
      </c>
      <c r="B45" s="21" t="n">
        <f aca="false">Parametros!$B$21</f>
        <v>287</v>
      </c>
      <c r="C45" s="21" t="n">
        <f aca="false">Parametros!$B$27</f>
        <v>415</v>
      </c>
      <c r="D45" s="16" t="n">
        <v>3</v>
      </c>
      <c r="E45" s="34" t="n">
        <f aca="false">2*Parametros!$C$6+(D45-1)*Parametros!$C$7+D45*(C45-Parametros!$C$13)</f>
        <v>1327.22</v>
      </c>
      <c r="F45" s="34" t="n">
        <f aca="false">B45+2*(Parametros!$C$8-Parametros!$C$5)</f>
        <v>372.26</v>
      </c>
      <c r="G45" s="35" t="n">
        <f aca="false">E45*F45/1000000</f>
        <v>0.4940709172</v>
      </c>
      <c r="H45" s="36" t="n">
        <f aca="false">E45/1000</f>
        <v>1.32722</v>
      </c>
      <c r="I45" s="29" t="n">
        <f aca="false">4*$E$4</f>
        <v>28</v>
      </c>
      <c r="J45" s="29" t="n">
        <f aca="false">2*(D45-1)*$E$4</f>
        <v>28</v>
      </c>
      <c r="K45" s="29" t="n">
        <v>0</v>
      </c>
      <c r="L45" s="29" t="n">
        <f aca="false">2*(D45+1)</f>
        <v>8</v>
      </c>
      <c r="M45" s="29" t="n">
        <f aca="false">D45*$E$4</f>
        <v>21</v>
      </c>
      <c r="N45" s="29" t="n">
        <f aca="false">2*D45*$E$4</f>
        <v>42</v>
      </c>
      <c r="O45" s="29" t="n">
        <f aca="false">(D45+1)*$E$4</f>
        <v>28</v>
      </c>
      <c r="P45" s="29" t="n">
        <f aca="false">2*(D45+1)*($E$4-1)</f>
        <v>48</v>
      </c>
    </row>
    <row r="46" customFormat="false" ht="15" hidden="false" customHeight="false" outlineLevel="0" collapsed="false">
      <c r="A46" s="11" t="s">
        <v>166</v>
      </c>
      <c r="B46" s="21" t="n">
        <f aca="false">Parametros!$B$21</f>
        <v>287</v>
      </c>
      <c r="C46" s="21" t="n">
        <f aca="false">Parametros!$B$27</f>
        <v>415</v>
      </c>
      <c r="D46" s="16" t="n">
        <v>4</v>
      </c>
      <c r="E46" s="34" t="n">
        <f aca="false">2*Parametros!$C$6+(D46-1)*Parametros!$C$7+D46*(C46-Parametros!$C$13)</f>
        <v>1762.32</v>
      </c>
      <c r="F46" s="34" t="n">
        <f aca="false">B46+2*(Parametros!$C$8-Parametros!$C$5)</f>
        <v>372.26</v>
      </c>
      <c r="G46" s="35" t="n">
        <f aca="false">E46*F46/1000000</f>
        <v>0.6560412432</v>
      </c>
      <c r="H46" s="36" t="n">
        <f aca="false">E46/1000</f>
        <v>1.76232</v>
      </c>
      <c r="I46" s="29" t="n">
        <f aca="false">4*$E$4</f>
        <v>28</v>
      </c>
      <c r="J46" s="29" t="n">
        <f aca="false">2*(D46-1)*$E$4</f>
        <v>42</v>
      </c>
      <c r="K46" s="29" t="n">
        <v>0</v>
      </c>
      <c r="L46" s="29" t="n">
        <f aca="false">2*(D46+1)</f>
        <v>10</v>
      </c>
      <c r="M46" s="29" t="n">
        <f aca="false">D46*$E$4</f>
        <v>28</v>
      </c>
      <c r="N46" s="29" t="n">
        <f aca="false">2*D46*$E$4</f>
        <v>56</v>
      </c>
      <c r="O46" s="29" t="n">
        <f aca="false">(D46+1)*$E$4</f>
        <v>35</v>
      </c>
      <c r="P46" s="29" t="n">
        <f aca="false">2*(D46+1)*($E$4-1)</f>
        <v>60</v>
      </c>
    </row>
    <row r="47" customFormat="false" ht="15" hidden="false" customHeight="false" outlineLevel="0" collapsed="false">
      <c r="A47" s="11" t="s">
        <v>166</v>
      </c>
      <c r="B47" s="21" t="n">
        <f aca="false">Parametros!$B$21</f>
        <v>287</v>
      </c>
      <c r="C47" s="21" t="n">
        <f aca="false">Parametros!$B$27</f>
        <v>415</v>
      </c>
      <c r="D47" s="16" t="n">
        <v>5</v>
      </c>
      <c r="E47" s="34" t="n">
        <f aca="false">2*Parametros!$C$6+(D47-1)*Parametros!$C$7+D47*(C47-Parametros!$C$13)</f>
        <v>2197.42</v>
      </c>
      <c r="F47" s="34" t="n">
        <f aca="false">B47+2*(Parametros!$C$8-Parametros!$C$5)</f>
        <v>372.26</v>
      </c>
      <c r="G47" s="35" t="n">
        <f aca="false">E47*F47/1000000</f>
        <v>0.8180115692</v>
      </c>
      <c r="H47" s="36" t="n">
        <f aca="false">E47/1000</f>
        <v>2.19742</v>
      </c>
      <c r="I47" s="29" t="n">
        <f aca="false">4*$E$4</f>
        <v>28</v>
      </c>
      <c r="J47" s="29" t="n">
        <f aca="false">2*(D47-1)*$E$4</f>
        <v>56</v>
      </c>
      <c r="K47" s="29" t="n">
        <v>0</v>
      </c>
      <c r="L47" s="29" t="n">
        <f aca="false">2*(D47+1)</f>
        <v>12</v>
      </c>
      <c r="M47" s="29" t="n">
        <f aca="false">D47*$E$4</f>
        <v>35</v>
      </c>
      <c r="N47" s="29" t="n">
        <f aca="false">2*D47*$E$4</f>
        <v>70</v>
      </c>
      <c r="O47" s="29" t="n">
        <f aca="false">(D47+1)*$E$4</f>
        <v>42</v>
      </c>
      <c r="P47" s="29" t="n">
        <f aca="false">2*(D47+1)*($E$4-1)</f>
        <v>72</v>
      </c>
    </row>
    <row r="48" customFormat="false" ht="15" hidden="false" customHeight="false" outlineLevel="0" collapsed="false">
      <c r="A48" s="11" t="s">
        <v>166</v>
      </c>
      <c r="B48" s="21" t="n">
        <f aca="false">Parametros!$B$21</f>
        <v>287</v>
      </c>
      <c r="C48" s="21" t="n">
        <f aca="false">Parametros!$B$27</f>
        <v>415</v>
      </c>
      <c r="D48" s="16" t="n">
        <v>6</v>
      </c>
      <c r="E48" s="34" t="n">
        <f aca="false">2*Parametros!$C$6+(D48-1)*Parametros!$C$7+D48*(C48-Parametros!$C$13)</f>
        <v>2632.52</v>
      </c>
      <c r="F48" s="34" t="n">
        <f aca="false">B48+2*(Parametros!$C$8-Parametros!$C$5)</f>
        <v>372.26</v>
      </c>
      <c r="G48" s="35" t="n">
        <f aca="false">E48*F48/1000000</f>
        <v>0.9799818952</v>
      </c>
      <c r="H48" s="36" t="n">
        <f aca="false">E48/1000</f>
        <v>2.63252</v>
      </c>
      <c r="I48" s="29" t="n">
        <f aca="false">4*$E$4</f>
        <v>28</v>
      </c>
      <c r="J48" s="29" t="n">
        <f aca="false">2*(D48-1)*$E$4</f>
        <v>70</v>
      </c>
      <c r="K48" s="29" t="n">
        <v>0</v>
      </c>
      <c r="L48" s="29" t="n">
        <f aca="false">2*(D48+1)</f>
        <v>14</v>
      </c>
      <c r="M48" s="29" t="n">
        <f aca="false">D48*$E$4</f>
        <v>42</v>
      </c>
      <c r="N48" s="29" t="n">
        <f aca="false">2*D48*$E$4</f>
        <v>84</v>
      </c>
      <c r="O48" s="29" t="n">
        <f aca="false">(D48+1)*$E$4</f>
        <v>49</v>
      </c>
      <c r="P48" s="29" t="n">
        <f aca="false">2*(D48+1)*($E$4-1)</f>
        <v>84</v>
      </c>
    </row>
    <row r="49" customFormat="false" ht="15" hidden="false" customHeight="false" outlineLevel="0" collapsed="false">
      <c r="A49" s="11" t="s">
        <v>166</v>
      </c>
      <c r="B49" s="21" t="n">
        <f aca="false">Parametros!$B$21</f>
        <v>287</v>
      </c>
      <c r="C49" s="21" t="n">
        <f aca="false">Parametros!$B$27</f>
        <v>415</v>
      </c>
      <c r="D49" s="16" t="n">
        <v>7</v>
      </c>
      <c r="E49" s="34" t="n">
        <f aca="false">2*Parametros!$C$6+(D49-1)*Parametros!$C$7+D49*(C49-Parametros!$C$13)</f>
        <v>3067.62</v>
      </c>
      <c r="F49" s="34" t="n">
        <f aca="false">B49+2*(Parametros!$C$8-Parametros!$C$5)</f>
        <v>372.26</v>
      </c>
      <c r="G49" s="35" t="n">
        <f aca="false">E49*F49/1000000</f>
        <v>1.1419522212</v>
      </c>
      <c r="H49" s="36" t="n">
        <f aca="false">E49/1000</f>
        <v>3.06762</v>
      </c>
      <c r="I49" s="29" t="n">
        <f aca="false">4*$E$4</f>
        <v>28</v>
      </c>
      <c r="J49" s="29" t="n">
        <f aca="false">2*(D49-1)*$E$4</f>
        <v>84</v>
      </c>
      <c r="K49" s="29" t="n">
        <v>0</v>
      </c>
      <c r="L49" s="29" t="n">
        <f aca="false">2*(D49+1)</f>
        <v>16</v>
      </c>
      <c r="M49" s="29" t="n">
        <f aca="false">D49*$E$4</f>
        <v>49</v>
      </c>
      <c r="N49" s="29" t="n">
        <f aca="false">2*D49*$E$4</f>
        <v>98</v>
      </c>
      <c r="O49" s="29" t="n">
        <f aca="false">(D49+1)*$E$4</f>
        <v>56</v>
      </c>
      <c r="P49" s="29" t="n">
        <f aca="false">2*(D49+1)*($E$4-1)</f>
        <v>96</v>
      </c>
    </row>
    <row r="50" customFormat="false" ht="15" hidden="false" customHeight="false" outlineLevel="0" collapsed="false">
      <c r="A50" s="11" t="s">
        <v>166</v>
      </c>
      <c r="B50" s="21" t="n">
        <f aca="false">Parametros!$B$21</f>
        <v>287</v>
      </c>
      <c r="C50" s="21" t="n">
        <f aca="false">Parametros!$B$27</f>
        <v>415</v>
      </c>
      <c r="D50" s="16" t="n">
        <v>8</v>
      </c>
      <c r="E50" s="34" t="n">
        <f aca="false">2*Parametros!$C$6+(D50-1)*Parametros!$C$7+D50*(C50-Parametros!$C$13)</f>
        <v>3502.72</v>
      </c>
      <c r="F50" s="34" t="n">
        <f aca="false">B50+2*(Parametros!$C$8-Parametros!$C$5)</f>
        <v>372.26</v>
      </c>
      <c r="G50" s="35" t="n">
        <f aca="false">E50*F50/1000000</f>
        <v>1.3039225472</v>
      </c>
      <c r="H50" s="36" t="n">
        <f aca="false">E50/1000</f>
        <v>3.50272</v>
      </c>
      <c r="I50" s="29" t="n">
        <f aca="false">4*$E$4</f>
        <v>28</v>
      </c>
      <c r="J50" s="29" t="n">
        <f aca="false">2*(D50-1)*$E$4</f>
        <v>98</v>
      </c>
      <c r="K50" s="29" t="n">
        <v>0</v>
      </c>
      <c r="L50" s="29" t="n">
        <f aca="false">2*(D50+1)</f>
        <v>18</v>
      </c>
      <c r="M50" s="29" t="n">
        <f aca="false">D50*$E$4</f>
        <v>56</v>
      </c>
      <c r="N50" s="29" t="n">
        <f aca="false">2*D50*$E$4</f>
        <v>112</v>
      </c>
      <c r="O50" s="29" t="n">
        <f aca="false">(D50+1)*$E$4</f>
        <v>63</v>
      </c>
      <c r="P50" s="29" t="n">
        <f aca="false">2*(D50+1)*($E$4-1)</f>
        <v>108</v>
      </c>
    </row>
    <row r="51" customFormat="false" ht="15" hidden="false" customHeight="false" outlineLevel="0" collapsed="false">
      <c r="A51" s="11" t="s">
        <v>166</v>
      </c>
      <c r="B51" s="21" t="n">
        <f aca="false">Parametros!$B$21</f>
        <v>287</v>
      </c>
      <c r="C51" s="21" t="n">
        <f aca="false">Parametros!$B$27</f>
        <v>415</v>
      </c>
      <c r="D51" s="16" t="n">
        <v>9</v>
      </c>
      <c r="E51" s="34" t="n">
        <f aca="false">2*Parametros!$C$6+(D51-1)*Parametros!$C$7+D51*(C51-Parametros!$C$13)</f>
        <v>3937.82</v>
      </c>
      <c r="F51" s="34" t="n">
        <f aca="false">B51+2*(Parametros!$C$8-Parametros!$C$5)</f>
        <v>372.26</v>
      </c>
      <c r="G51" s="35" t="n">
        <f aca="false">E51*F51/1000000</f>
        <v>1.4658928732</v>
      </c>
      <c r="H51" s="36" t="n">
        <f aca="false">E51/1000</f>
        <v>3.93782</v>
      </c>
      <c r="I51" s="29" t="n">
        <f aca="false">4*$E$4</f>
        <v>28</v>
      </c>
      <c r="J51" s="29" t="n">
        <f aca="false">2*(D51-1)*$E$4</f>
        <v>112</v>
      </c>
      <c r="K51" s="29" t="n">
        <v>0</v>
      </c>
      <c r="L51" s="29" t="n">
        <f aca="false">2*(D51+1)</f>
        <v>20</v>
      </c>
      <c r="M51" s="29" t="n">
        <f aca="false">D51*$E$4</f>
        <v>63</v>
      </c>
      <c r="N51" s="29" t="n">
        <f aca="false">2*D51*$E$4</f>
        <v>126</v>
      </c>
      <c r="O51" s="29" t="n">
        <f aca="false">(D51+1)*$E$4</f>
        <v>70</v>
      </c>
      <c r="P51" s="29" t="n">
        <f aca="false">2*(D51+1)*($E$4-1)</f>
        <v>120</v>
      </c>
    </row>
    <row r="52" customFormat="false" ht="15" hidden="false" customHeight="false" outlineLevel="0" collapsed="false">
      <c r="A52" s="11" t="s">
        <v>166</v>
      </c>
      <c r="B52" s="21" t="n">
        <f aca="false">Parametros!$B$21</f>
        <v>287</v>
      </c>
      <c r="C52" s="21" t="n">
        <f aca="false">Parametros!$B$27</f>
        <v>415</v>
      </c>
      <c r="D52" s="16" t="n">
        <v>10</v>
      </c>
      <c r="E52" s="34" t="n">
        <f aca="false">2*Parametros!$C$6+(D52-1)*Parametros!$C$7+D52*(C52-Parametros!$C$13)</f>
        <v>4372.92</v>
      </c>
      <c r="F52" s="34" t="n">
        <f aca="false">B52+2*(Parametros!$C$8-Parametros!$C$5)</f>
        <v>372.26</v>
      </c>
      <c r="G52" s="35" t="n">
        <f aca="false">E52*F52/1000000</f>
        <v>1.6278631992</v>
      </c>
      <c r="H52" s="36" t="n">
        <f aca="false">E52/1000</f>
        <v>4.37292</v>
      </c>
      <c r="I52" s="29" t="n">
        <f aca="false">4*$E$4</f>
        <v>28</v>
      </c>
      <c r="J52" s="29" t="n">
        <f aca="false">2*(D52-1)*$E$4</f>
        <v>126</v>
      </c>
      <c r="K52" s="29" t="n">
        <v>0</v>
      </c>
      <c r="L52" s="29" t="n">
        <f aca="false">2*(D52+1)</f>
        <v>22</v>
      </c>
      <c r="M52" s="29" t="n">
        <f aca="false">D52*$E$4</f>
        <v>70</v>
      </c>
      <c r="N52" s="29" t="n">
        <f aca="false">2*D52*$E$4</f>
        <v>140</v>
      </c>
      <c r="O52" s="29" t="n">
        <f aca="false">(D52+1)*$E$4</f>
        <v>77</v>
      </c>
      <c r="P52" s="29" t="n">
        <f aca="false">2*(D52+1)*($E$4-1)</f>
        <v>132</v>
      </c>
    </row>
    <row r="53" customFormat="false" ht="15" hidden="false" customHeight="false" outlineLevel="0" collapsed="false">
      <c r="A53" s="11" t="s">
        <v>166</v>
      </c>
      <c r="B53" s="21" t="n">
        <f aca="false">Parametros!$B$21</f>
        <v>287</v>
      </c>
      <c r="C53" s="21" t="n">
        <f aca="false">Parametros!$B$27</f>
        <v>415</v>
      </c>
      <c r="D53" s="16" t="n">
        <v>11</v>
      </c>
      <c r="E53" s="34" t="n">
        <f aca="false">2*Parametros!$C$6+(D53-1)*Parametros!$C$7+D53*(C53-Parametros!$C$13)</f>
        <v>4808.02</v>
      </c>
      <c r="F53" s="34" t="n">
        <f aca="false">B53+2*(Parametros!$C$8-Parametros!$C$5)</f>
        <v>372.26</v>
      </c>
      <c r="G53" s="35" t="n">
        <f aca="false">E53*F53/1000000</f>
        <v>1.7898335252</v>
      </c>
      <c r="H53" s="36" t="n">
        <f aca="false">E53/1000</f>
        <v>4.80802</v>
      </c>
      <c r="I53" s="29" t="n">
        <f aca="false">4*$E$4</f>
        <v>28</v>
      </c>
      <c r="J53" s="29" t="n">
        <f aca="false">2*(D53-1)*$E$4</f>
        <v>140</v>
      </c>
      <c r="K53" s="29" t="n">
        <v>0</v>
      </c>
      <c r="L53" s="29" t="n">
        <f aca="false">2*(D53+1)</f>
        <v>24</v>
      </c>
      <c r="M53" s="29" t="n">
        <f aca="false">D53*$E$4</f>
        <v>77</v>
      </c>
      <c r="N53" s="29" t="n">
        <f aca="false">2*D53*$E$4</f>
        <v>154</v>
      </c>
      <c r="O53" s="29" t="n">
        <f aca="false">(D53+1)*$E$4</f>
        <v>84</v>
      </c>
      <c r="P53" s="29" t="n">
        <f aca="false">2*(D53+1)*($E$4-1)</f>
        <v>144</v>
      </c>
    </row>
    <row r="54" customFormat="false" ht="15" hidden="false" customHeight="false" outlineLevel="0" collapsed="false">
      <c r="A54" s="11" t="s">
        <v>166</v>
      </c>
      <c r="B54" s="21" t="n">
        <f aca="false">Parametros!$B$21</f>
        <v>287</v>
      </c>
      <c r="C54" s="21" t="n">
        <f aca="false">Parametros!$B$27</f>
        <v>415</v>
      </c>
      <c r="D54" s="16" t="n">
        <v>12</v>
      </c>
      <c r="E54" s="34" t="n">
        <f aca="false">2*Parametros!$C$6+(D54-1)*Parametros!$C$7+D54*(C54-Parametros!$C$13)</f>
        <v>5243.12</v>
      </c>
      <c r="F54" s="34" t="n">
        <f aca="false">B54+2*(Parametros!$C$8-Parametros!$C$5)</f>
        <v>372.26</v>
      </c>
      <c r="G54" s="35" t="n">
        <f aca="false">E54*F54/1000000</f>
        <v>1.9518038512</v>
      </c>
      <c r="H54" s="36" t="n">
        <f aca="false">E54/1000</f>
        <v>5.24312</v>
      </c>
      <c r="I54" s="29" t="n">
        <f aca="false">4*$E$4</f>
        <v>28</v>
      </c>
      <c r="J54" s="29" t="n">
        <f aca="false">2*(D54-1)*$E$4</f>
        <v>154</v>
      </c>
      <c r="K54" s="29" t="n">
        <v>0</v>
      </c>
      <c r="L54" s="29" t="n">
        <f aca="false">2*(D54+1)</f>
        <v>26</v>
      </c>
      <c r="M54" s="29" t="n">
        <f aca="false">D54*$E$4</f>
        <v>84</v>
      </c>
      <c r="N54" s="29" t="n">
        <f aca="false">2*D54*$E$4</f>
        <v>168</v>
      </c>
      <c r="O54" s="29" t="n">
        <f aca="false">(D54+1)*$E$4</f>
        <v>91</v>
      </c>
      <c r="P54" s="29" t="n">
        <f aca="false">2*(D54+1)*($E$4-1)</f>
        <v>156</v>
      </c>
    </row>
    <row r="55" customFormat="false" ht="15" hidden="false" customHeight="false" outlineLevel="0" collapsed="false">
      <c r="A55" s="11" t="s">
        <v>166</v>
      </c>
      <c r="B55" s="21" t="n">
        <f aca="false">Parametros!$B$21</f>
        <v>287</v>
      </c>
      <c r="C55" s="21" t="n">
        <f aca="false">Parametros!$B$27</f>
        <v>415</v>
      </c>
      <c r="D55" s="16" t="n">
        <v>13</v>
      </c>
      <c r="E55" s="34" t="n">
        <f aca="false">2*Parametros!$C$6+(D55-1)*Parametros!$C$7+D55*(C55-Parametros!$C$13)</f>
        <v>5678.22</v>
      </c>
      <c r="F55" s="34" t="n">
        <f aca="false">B55+2*(Parametros!$C$8-Parametros!$C$5)</f>
        <v>372.26</v>
      </c>
      <c r="G55" s="35" t="n">
        <f aca="false">E55*F55/1000000</f>
        <v>2.1137741772</v>
      </c>
      <c r="H55" s="36" t="n">
        <f aca="false">E55/1000</f>
        <v>5.67822</v>
      </c>
      <c r="I55" s="29" t="n">
        <f aca="false">4*$E$4</f>
        <v>28</v>
      </c>
      <c r="J55" s="29" t="n">
        <f aca="false">2*(D55-1)*$E$4</f>
        <v>168</v>
      </c>
      <c r="K55" s="29" t="n">
        <v>0</v>
      </c>
      <c r="L55" s="29" t="n">
        <f aca="false">2*(D55+1)</f>
        <v>28</v>
      </c>
      <c r="M55" s="29" t="n">
        <f aca="false">D55*$E$4</f>
        <v>91</v>
      </c>
      <c r="N55" s="29" t="n">
        <f aca="false">2*D55*$E$4</f>
        <v>182</v>
      </c>
      <c r="O55" s="29" t="n">
        <f aca="false">(D55+1)*$E$4</f>
        <v>98</v>
      </c>
      <c r="P55" s="29" t="n">
        <f aca="false">2*(D55+1)*($E$4-1)</f>
        <v>168</v>
      </c>
    </row>
    <row r="56" customFormat="false" ht="15" hidden="false" customHeight="false" outlineLevel="0" collapsed="false">
      <c r="A56" s="11" t="s">
        <v>166</v>
      </c>
      <c r="B56" s="21" t="n">
        <f aca="false">Parametros!$B$21</f>
        <v>287</v>
      </c>
      <c r="C56" s="21" t="n">
        <f aca="false">Parametros!$B$27</f>
        <v>415</v>
      </c>
      <c r="D56" s="16" t="n">
        <v>14</v>
      </c>
      <c r="E56" s="34" t="n">
        <f aca="false">2*Parametros!$C$6+(D56-1)*Parametros!$C$7+D56*(C56-Parametros!$C$13)</f>
        <v>6113.32</v>
      </c>
      <c r="F56" s="34" t="n">
        <f aca="false">B56+2*(Parametros!$C$8-Parametros!$C$5)</f>
        <v>372.26</v>
      </c>
      <c r="G56" s="35" t="n">
        <f aca="false">E56*F56/1000000</f>
        <v>2.2757445032</v>
      </c>
      <c r="H56" s="36" t="n">
        <f aca="false">E56/1000</f>
        <v>6.11332</v>
      </c>
      <c r="I56" s="29" t="n">
        <f aca="false">4*$E$4</f>
        <v>28</v>
      </c>
      <c r="J56" s="29" t="n">
        <f aca="false">2*(D56-1)*$E$4</f>
        <v>182</v>
      </c>
      <c r="K56" s="29" t="n">
        <v>0</v>
      </c>
      <c r="L56" s="29" t="n">
        <f aca="false">2*(D56+1)</f>
        <v>30</v>
      </c>
      <c r="M56" s="29" t="n">
        <f aca="false">D56*$E$4</f>
        <v>98</v>
      </c>
      <c r="N56" s="29" t="n">
        <f aca="false">2*D56*$E$4</f>
        <v>196</v>
      </c>
      <c r="O56" s="29" t="n">
        <f aca="false">(D56+1)*$E$4</f>
        <v>105</v>
      </c>
      <c r="P56" s="29" t="n">
        <f aca="false">2*(D56+1)*($E$4-1)</f>
        <v>180</v>
      </c>
    </row>
    <row r="57" customFormat="false" ht="15" hidden="false" customHeight="false" outlineLevel="0" collapsed="false">
      <c r="A57" s="11" t="s">
        <v>166</v>
      </c>
      <c r="B57" s="21" t="n">
        <f aca="false">Parametros!$B$21</f>
        <v>287</v>
      </c>
      <c r="C57" s="21" t="n">
        <f aca="false">Parametros!$B$27</f>
        <v>415</v>
      </c>
      <c r="D57" s="16" t="n">
        <v>15</v>
      </c>
      <c r="E57" s="34" t="n">
        <f aca="false">2*Parametros!$C$6+(D57-1)*Parametros!$C$7+D57*(C57-Parametros!$C$13)</f>
        <v>6548.42</v>
      </c>
      <c r="F57" s="34" t="n">
        <f aca="false">B57+2*(Parametros!$C$8-Parametros!$C$5)</f>
        <v>372.26</v>
      </c>
      <c r="G57" s="35" t="n">
        <f aca="false">E57*F57/1000000</f>
        <v>2.4377148292</v>
      </c>
      <c r="H57" s="36" t="n">
        <f aca="false">E57/1000</f>
        <v>6.54842</v>
      </c>
      <c r="I57" s="29" t="n">
        <f aca="false">4*$E$4</f>
        <v>28</v>
      </c>
      <c r="J57" s="29" t="n">
        <f aca="false">2*(D57-1)*$E$4</f>
        <v>196</v>
      </c>
      <c r="K57" s="29" t="n">
        <v>0</v>
      </c>
      <c r="L57" s="29" t="n">
        <f aca="false">2*(D57+1)</f>
        <v>32</v>
      </c>
      <c r="M57" s="29" t="n">
        <f aca="false">D57*$E$4</f>
        <v>105</v>
      </c>
      <c r="N57" s="29" t="n">
        <f aca="false">2*D57*$E$4</f>
        <v>210</v>
      </c>
      <c r="O57" s="29" t="n">
        <f aca="false">(D57+1)*$E$4</f>
        <v>112</v>
      </c>
      <c r="P57" s="29" t="n">
        <f aca="false">2*(D57+1)*($E$4-1)</f>
        <v>192</v>
      </c>
    </row>
    <row r="58" customFormat="false" ht="15" hidden="false" customHeight="false" outlineLevel="0" collapsed="false">
      <c r="A58" s="11" t="s">
        <v>166</v>
      </c>
      <c r="B58" s="21" t="n">
        <f aca="false">Parametros!$B$21</f>
        <v>287</v>
      </c>
      <c r="C58" s="21" t="n">
        <f aca="false">Parametros!$B$27</f>
        <v>415</v>
      </c>
      <c r="D58" s="16" t="n">
        <v>16</v>
      </c>
      <c r="E58" s="34" t="n">
        <f aca="false">2*Parametros!$C$6+(D58-1)*Parametros!$C$7+D58*(C58-Parametros!$C$13)</f>
        <v>6983.52</v>
      </c>
      <c r="F58" s="34" t="n">
        <f aca="false">B58+2*(Parametros!$C$8-Parametros!$C$5)</f>
        <v>372.26</v>
      </c>
      <c r="G58" s="35" t="n">
        <f aca="false">E58*F58/1000000</f>
        <v>2.5996851552</v>
      </c>
      <c r="H58" s="36" t="n">
        <f aca="false">E58/1000</f>
        <v>6.98352</v>
      </c>
      <c r="I58" s="29" t="n">
        <f aca="false">4*$E$4</f>
        <v>28</v>
      </c>
      <c r="J58" s="29" t="n">
        <f aca="false">2*(D58-1)*$E$4</f>
        <v>210</v>
      </c>
      <c r="K58" s="29" t="n">
        <v>0</v>
      </c>
      <c r="L58" s="29" t="n">
        <f aca="false">2*(D58+1)</f>
        <v>34</v>
      </c>
      <c r="M58" s="29" t="n">
        <f aca="false">D58*$E$4</f>
        <v>112</v>
      </c>
      <c r="N58" s="29" t="n">
        <f aca="false">2*D58*$E$4</f>
        <v>224</v>
      </c>
      <c r="O58" s="29" t="n">
        <f aca="false">(D58+1)*$E$4</f>
        <v>119</v>
      </c>
      <c r="P58" s="29" t="n">
        <f aca="false">2*(D58+1)*($E$4-1)</f>
        <v>204</v>
      </c>
    </row>
    <row r="59" customFormat="false" ht="15" hidden="false" customHeight="false" outlineLevel="0" collapsed="false">
      <c r="A59" s="11" t="s">
        <v>166</v>
      </c>
      <c r="B59" s="21" t="n">
        <f aca="false">Parametros!$B$21</f>
        <v>287</v>
      </c>
      <c r="C59" s="21" t="n">
        <f aca="false">Parametros!$B$27</f>
        <v>415</v>
      </c>
      <c r="D59" s="16" t="n">
        <v>17</v>
      </c>
      <c r="E59" s="34" t="n">
        <f aca="false">2*Parametros!$C$6+(D59-1)*Parametros!$C$7+D59*(C59-Parametros!$C$13)</f>
        <v>7418.62</v>
      </c>
      <c r="F59" s="34" t="n">
        <f aca="false">B59+2*(Parametros!$C$8-Parametros!$C$5)</f>
        <v>372.26</v>
      </c>
      <c r="G59" s="35" t="n">
        <f aca="false">E59*F59/1000000</f>
        <v>2.7616554812</v>
      </c>
      <c r="H59" s="36" t="n">
        <f aca="false">E59/1000</f>
        <v>7.41862</v>
      </c>
      <c r="I59" s="29" t="n">
        <f aca="false">4*$E$4</f>
        <v>28</v>
      </c>
      <c r="J59" s="29" t="n">
        <f aca="false">2*(D59-1)*$E$4</f>
        <v>224</v>
      </c>
      <c r="K59" s="29" t="n">
        <v>0</v>
      </c>
      <c r="L59" s="29" t="n">
        <f aca="false">2*(D59+1)</f>
        <v>36</v>
      </c>
      <c r="M59" s="29" t="n">
        <f aca="false">D59*$E$4</f>
        <v>119</v>
      </c>
      <c r="N59" s="29" t="n">
        <f aca="false">2*D59*$E$4</f>
        <v>238</v>
      </c>
      <c r="O59" s="29" t="n">
        <f aca="false">(D59+1)*$E$4</f>
        <v>126</v>
      </c>
      <c r="P59" s="29" t="n">
        <f aca="false">2*(D59+1)*($E$4-1)</f>
        <v>216</v>
      </c>
    </row>
    <row r="60" customFormat="false" ht="15" hidden="false" customHeight="false" outlineLevel="0" collapsed="false">
      <c r="A60" s="11" t="s">
        <v>166</v>
      </c>
      <c r="B60" s="21" t="n">
        <f aca="false">Parametros!$B$21</f>
        <v>287</v>
      </c>
      <c r="C60" s="21" t="n">
        <f aca="false">Parametros!$B$27</f>
        <v>415</v>
      </c>
      <c r="D60" s="16" t="n">
        <v>18</v>
      </c>
      <c r="E60" s="34" t="n">
        <f aca="false">2*Parametros!$C$6+(D60-1)*Parametros!$C$7+D60*(C60-Parametros!$C$13)</f>
        <v>7853.72</v>
      </c>
      <c r="F60" s="34" t="n">
        <f aca="false">B60+2*(Parametros!$C$8-Parametros!$C$5)</f>
        <v>372.26</v>
      </c>
      <c r="G60" s="35" t="n">
        <f aca="false">E60*F60/1000000</f>
        <v>2.9236258072</v>
      </c>
      <c r="H60" s="36" t="n">
        <f aca="false">E60/1000</f>
        <v>7.85372</v>
      </c>
      <c r="I60" s="29" t="n">
        <f aca="false">4*$E$4</f>
        <v>28</v>
      </c>
      <c r="J60" s="29" t="n">
        <f aca="false">2*(D60-1)*$E$4</f>
        <v>238</v>
      </c>
      <c r="K60" s="29" t="n">
        <v>0</v>
      </c>
      <c r="L60" s="29" t="n">
        <f aca="false">2*(D60+1)</f>
        <v>38</v>
      </c>
      <c r="M60" s="29" t="n">
        <f aca="false">D60*$E$4</f>
        <v>126</v>
      </c>
      <c r="N60" s="29" t="n">
        <f aca="false">2*D60*$E$4</f>
        <v>252</v>
      </c>
      <c r="O60" s="29" t="n">
        <f aca="false">(D60+1)*$E$4</f>
        <v>133</v>
      </c>
      <c r="P60" s="29" t="n">
        <f aca="false">2*(D60+1)*($E$4-1)</f>
        <v>228</v>
      </c>
    </row>
    <row r="61" customFormat="false" ht="15" hidden="false" customHeight="false" outlineLevel="0" collapsed="false">
      <c r="A61" s="11" t="s">
        <v>167</v>
      </c>
      <c r="B61" s="21" t="n">
        <f aca="false">Parametros!$B$21</f>
        <v>287</v>
      </c>
      <c r="C61" s="21" t="n">
        <f aca="false">Parametros!$B$28</f>
        <v>595</v>
      </c>
      <c r="D61" s="16" t="n">
        <v>1</v>
      </c>
      <c r="E61" s="34" t="n">
        <f aca="false">2*Parametros!$C$6+(D61-1)*Parametros!$C$7+D61*(C61-Parametros!$C$13)</f>
        <v>637.02</v>
      </c>
      <c r="F61" s="34" t="n">
        <f aca="false">B61+2*(Parametros!$C$8-Parametros!$C$5)</f>
        <v>372.26</v>
      </c>
      <c r="G61" s="35" t="n">
        <f aca="false">E61*F61/1000000</f>
        <v>0.2371370652</v>
      </c>
      <c r="H61" s="36" t="n">
        <f aca="false">E61/1000</f>
        <v>0.63702</v>
      </c>
      <c r="I61" s="29" t="n">
        <f aca="false">4*$E$4</f>
        <v>28</v>
      </c>
      <c r="J61" s="29" t="n">
        <f aca="false">2*(D61-1)*$E$4</f>
        <v>0</v>
      </c>
      <c r="K61" s="29" t="n">
        <v>0</v>
      </c>
      <c r="L61" s="29" t="n">
        <f aca="false">2*(D61+1)</f>
        <v>4</v>
      </c>
      <c r="M61" s="29" t="n">
        <f aca="false">D61*$E$4</f>
        <v>7</v>
      </c>
      <c r="N61" s="29" t="n">
        <f aca="false">2*D61*$E$4</f>
        <v>14</v>
      </c>
      <c r="O61" s="29" t="n">
        <f aca="false">(D61+1)*$E$4</f>
        <v>14</v>
      </c>
      <c r="P61" s="29" t="n">
        <f aca="false">2*(D61+1)*($E$4-1)</f>
        <v>24</v>
      </c>
    </row>
    <row r="62" customFormat="false" ht="15" hidden="false" customHeight="false" outlineLevel="0" collapsed="false">
      <c r="A62" s="11" t="s">
        <v>167</v>
      </c>
      <c r="B62" s="21" t="n">
        <f aca="false">Parametros!$B$21</f>
        <v>287</v>
      </c>
      <c r="C62" s="21" t="n">
        <f aca="false">Parametros!$B$28</f>
        <v>595</v>
      </c>
      <c r="D62" s="16" t="n">
        <v>2</v>
      </c>
      <c r="E62" s="34" t="n">
        <f aca="false">2*Parametros!$C$6+(D62-1)*Parametros!$C$7+D62*(C62-Parametros!$C$13)</f>
        <v>1252.12</v>
      </c>
      <c r="F62" s="34" t="n">
        <f aca="false">B62+2*(Parametros!$C$8-Parametros!$C$5)</f>
        <v>372.26</v>
      </c>
      <c r="G62" s="35" t="n">
        <f aca="false">E62*F62/1000000</f>
        <v>0.4661141912</v>
      </c>
      <c r="H62" s="36" t="n">
        <f aca="false">E62/1000</f>
        <v>1.25212</v>
      </c>
      <c r="I62" s="29" t="n">
        <f aca="false">4*$E$4</f>
        <v>28</v>
      </c>
      <c r="J62" s="29" t="n">
        <f aca="false">2*(D62-1)*$E$4</f>
        <v>14</v>
      </c>
      <c r="K62" s="29" t="n">
        <v>0</v>
      </c>
      <c r="L62" s="29" t="n">
        <f aca="false">2*(D62+1)</f>
        <v>6</v>
      </c>
      <c r="M62" s="29" t="n">
        <f aca="false">D62*$E$4</f>
        <v>14</v>
      </c>
      <c r="N62" s="29" t="n">
        <f aca="false">2*D62*$E$4</f>
        <v>28</v>
      </c>
      <c r="O62" s="29" t="n">
        <f aca="false">(D62+1)*$E$4</f>
        <v>21</v>
      </c>
      <c r="P62" s="29" t="n">
        <f aca="false">2*(D62+1)*($E$4-1)</f>
        <v>36</v>
      </c>
    </row>
    <row r="63" customFormat="false" ht="15" hidden="false" customHeight="false" outlineLevel="0" collapsed="false">
      <c r="A63" s="11" t="s">
        <v>167</v>
      </c>
      <c r="B63" s="21" t="n">
        <f aca="false">Parametros!$B$21</f>
        <v>287</v>
      </c>
      <c r="C63" s="21" t="n">
        <f aca="false">Parametros!$B$28</f>
        <v>595</v>
      </c>
      <c r="D63" s="16" t="n">
        <v>3</v>
      </c>
      <c r="E63" s="34" t="n">
        <f aca="false">2*Parametros!$C$6+(D63-1)*Parametros!$C$7+D63*(C63-Parametros!$C$13)</f>
        <v>1867.22</v>
      </c>
      <c r="F63" s="34" t="n">
        <f aca="false">B63+2*(Parametros!$C$8-Parametros!$C$5)</f>
        <v>372.26</v>
      </c>
      <c r="G63" s="35" t="n">
        <f aca="false">E63*F63/1000000</f>
        <v>0.6950913172</v>
      </c>
      <c r="H63" s="36" t="n">
        <f aca="false">E63/1000</f>
        <v>1.86722</v>
      </c>
      <c r="I63" s="29" t="n">
        <f aca="false">4*$E$4</f>
        <v>28</v>
      </c>
      <c r="J63" s="29" t="n">
        <f aca="false">2*(D63-1)*$E$4</f>
        <v>28</v>
      </c>
      <c r="K63" s="29" t="n">
        <v>0</v>
      </c>
      <c r="L63" s="29" t="n">
        <f aca="false">2*(D63+1)</f>
        <v>8</v>
      </c>
      <c r="M63" s="29" t="n">
        <f aca="false">D63*$E$4</f>
        <v>21</v>
      </c>
      <c r="N63" s="29" t="n">
        <f aca="false">2*D63*$E$4</f>
        <v>42</v>
      </c>
      <c r="O63" s="29" t="n">
        <f aca="false">(D63+1)*$E$4</f>
        <v>28</v>
      </c>
      <c r="P63" s="29" t="n">
        <f aca="false">2*(D63+1)*($E$4-1)</f>
        <v>48</v>
      </c>
    </row>
    <row r="64" customFormat="false" ht="15" hidden="false" customHeight="false" outlineLevel="0" collapsed="false">
      <c r="A64" s="11" t="s">
        <v>167</v>
      </c>
      <c r="B64" s="21" t="n">
        <f aca="false">Parametros!$B$21</f>
        <v>287</v>
      </c>
      <c r="C64" s="21" t="n">
        <f aca="false">Parametros!$B$28</f>
        <v>595</v>
      </c>
      <c r="D64" s="16" t="n">
        <v>4</v>
      </c>
      <c r="E64" s="34" t="n">
        <f aca="false">2*Parametros!$C$6+(D64-1)*Parametros!$C$7+D64*(C64-Parametros!$C$13)</f>
        <v>2482.32</v>
      </c>
      <c r="F64" s="34" t="n">
        <f aca="false">B64+2*(Parametros!$C$8-Parametros!$C$5)</f>
        <v>372.26</v>
      </c>
      <c r="G64" s="35" t="n">
        <f aca="false">E64*F64/1000000</f>
        <v>0.9240684432</v>
      </c>
      <c r="H64" s="36" t="n">
        <f aca="false">E64/1000</f>
        <v>2.48232</v>
      </c>
      <c r="I64" s="29" t="n">
        <f aca="false">4*$E$4</f>
        <v>28</v>
      </c>
      <c r="J64" s="29" t="n">
        <f aca="false">2*(D64-1)*$E$4</f>
        <v>42</v>
      </c>
      <c r="K64" s="29" t="n">
        <v>0</v>
      </c>
      <c r="L64" s="29" t="n">
        <f aca="false">2*(D64+1)</f>
        <v>10</v>
      </c>
      <c r="M64" s="29" t="n">
        <f aca="false">D64*$E$4</f>
        <v>28</v>
      </c>
      <c r="N64" s="29" t="n">
        <f aca="false">2*D64*$E$4</f>
        <v>56</v>
      </c>
      <c r="O64" s="29" t="n">
        <f aca="false">(D64+1)*$E$4</f>
        <v>35</v>
      </c>
      <c r="P64" s="29" t="n">
        <f aca="false">2*(D64+1)*($E$4-1)</f>
        <v>60</v>
      </c>
    </row>
    <row r="65" customFormat="false" ht="15" hidden="false" customHeight="false" outlineLevel="0" collapsed="false">
      <c r="A65" s="11" t="s">
        <v>167</v>
      </c>
      <c r="B65" s="21" t="n">
        <f aca="false">Parametros!$B$21</f>
        <v>287</v>
      </c>
      <c r="C65" s="21" t="n">
        <f aca="false">Parametros!$B$28</f>
        <v>595</v>
      </c>
      <c r="D65" s="16" t="n">
        <v>5</v>
      </c>
      <c r="E65" s="34" t="n">
        <f aca="false">2*Parametros!$C$6+(D65-1)*Parametros!$C$7+D65*(C65-Parametros!$C$13)</f>
        <v>3097.42</v>
      </c>
      <c r="F65" s="34" t="n">
        <f aca="false">B65+2*(Parametros!$C$8-Parametros!$C$5)</f>
        <v>372.26</v>
      </c>
      <c r="G65" s="35" t="n">
        <f aca="false">E65*F65/1000000</f>
        <v>1.1530455692</v>
      </c>
      <c r="H65" s="36" t="n">
        <f aca="false">E65/1000</f>
        <v>3.09742</v>
      </c>
      <c r="I65" s="29" t="n">
        <f aca="false">4*$E$4</f>
        <v>28</v>
      </c>
      <c r="J65" s="29" t="n">
        <f aca="false">2*(D65-1)*$E$4</f>
        <v>56</v>
      </c>
      <c r="K65" s="29" t="n">
        <v>0</v>
      </c>
      <c r="L65" s="29" t="n">
        <f aca="false">2*(D65+1)</f>
        <v>12</v>
      </c>
      <c r="M65" s="29" t="n">
        <f aca="false">D65*$E$4</f>
        <v>35</v>
      </c>
      <c r="N65" s="29" t="n">
        <f aca="false">2*D65*$E$4</f>
        <v>70</v>
      </c>
      <c r="O65" s="29" t="n">
        <f aca="false">(D65+1)*$E$4</f>
        <v>42</v>
      </c>
      <c r="P65" s="29" t="n">
        <f aca="false">2*(D65+1)*($E$4-1)</f>
        <v>72</v>
      </c>
    </row>
    <row r="66" customFormat="false" ht="15" hidden="false" customHeight="false" outlineLevel="0" collapsed="false">
      <c r="A66" s="11" t="s">
        <v>167</v>
      </c>
      <c r="B66" s="21" t="n">
        <f aca="false">Parametros!$B$21</f>
        <v>287</v>
      </c>
      <c r="C66" s="21" t="n">
        <f aca="false">Parametros!$B$28</f>
        <v>595</v>
      </c>
      <c r="D66" s="16" t="n">
        <v>6</v>
      </c>
      <c r="E66" s="34" t="n">
        <f aca="false">2*Parametros!$C$6+(D66-1)*Parametros!$C$7+D66*(C66-Parametros!$C$13)</f>
        <v>3712.52</v>
      </c>
      <c r="F66" s="34" t="n">
        <f aca="false">B66+2*(Parametros!$C$8-Parametros!$C$5)</f>
        <v>372.26</v>
      </c>
      <c r="G66" s="35" t="n">
        <f aca="false">E66*F66/1000000</f>
        <v>1.3820226952</v>
      </c>
      <c r="H66" s="36" t="n">
        <f aca="false">E66/1000</f>
        <v>3.71252</v>
      </c>
      <c r="I66" s="29" t="n">
        <f aca="false">4*$E$4</f>
        <v>28</v>
      </c>
      <c r="J66" s="29" t="n">
        <f aca="false">2*(D66-1)*$E$4</f>
        <v>70</v>
      </c>
      <c r="K66" s="29" t="n">
        <v>0</v>
      </c>
      <c r="L66" s="29" t="n">
        <f aca="false">2*(D66+1)</f>
        <v>14</v>
      </c>
      <c r="M66" s="29" t="n">
        <f aca="false">D66*$E$4</f>
        <v>42</v>
      </c>
      <c r="N66" s="29" t="n">
        <f aca="false">2*D66*$E$4</f>
        <v>84</v>
      </c>
      <c r="O66" s="29" t="n">
        <f aca="false">(D66+1)*$E$4</f>
        <v>49</v>
      </c>
      <c r="P66" s="29" t="n">
        <f aca="false">2*(D66+1)*($E$4-1)</f>
        <v>84</v>
      </c>
    </row>
    <row r="67" customFormat="false" ht="15" hidden="false" customHeight="false" outlineLevel="0" collapsed="false">
      <c r="A67" s="11" t="s">
        <v>167</v>
      </c>
      <c r="B67" s="21" t="n">
        <f aca="false">Parametros!$B$21</f>
        <v>287</v>
      </c>
      <c r="C67" s="21" t="n">
        <f aca="false">Parametros!$B$28</f>
        <v>595</v>
      </c>
      <c r="D67" s="16" t="n">
        <v>7</v>
      </c>
      <c r="E67" s="34" t="n">
        <f aca="false">2*Parametros!$C$6+(D67-1)*Parametros!$C$7+D67*(C67-Parametros!$C$13)</f>
        <v>4327.62</v>
      </c>
      <c r="F67" s="34" t="n">
        <f aca="false">B67+2*(Parametros!$C$8-Parametros!$C$5)</f>
        <v>372.26</v>
      </c>
      <c r="G67" s="35" t="n">
        <f aca="false">E67*F67/1000000</f>
        <v>1.6109998212</v>
      </c>
      <c r="H67" s="36" t="n">
        <f aca="false">E67/1000</f>
        <v>4.32762</v>
      </c>
      <c r="I67" s="29" t="n">
        <f aca="false">4*$E$4</f>
        <v>28</v>
      </c>
      <c r="J67" s="29" t="n">
        <f aca="false">2*(D67-1)*$E$4</f>
        <v>84</v>
      </c>
      <c r="K67" s="29" t="n">
        <v>0</v>
      </c>
      <c r="L67" s="29" t="n">
        <f aca="false">2*(D67+1)</f>
        <v>16</v>
      </c>
      <c r="M67" s="29" t="n">
        <f aca="false">D67*$E$4</f>
        <v>49</v>
      </c>
      <c r="N67" s="29" t="n">
        <f aca="false">2*D67*$E$4</f>
        <v>98</v>
      </c>
      <c r="O67" s="29" t="n">
        <f aca="false">(D67+1)*$E$4</f>
        <v>56</v>
      </c>
      <c r="P67" s="29" t="n">
        <f aca="false">2*(D67+1)*($E$4-1)</f>
        <v>96</v>
      </c>
    </row>
    <row r="68" customFormat="false" ht="15" hidden="false" customHeight="false" outlineLevel="0" collapsed="false">
      <c r="A68" s="11" t="s">
        <v>167</v>
      </c>
      <c r="B68" s="21" t="n">
        <f aca="false">Parametros!$B$21</f>
        <v>287</v>
      </c>
      <c r="C68" s="21" t="n">
        <f aca="false">Parametros!$B$28</f>
        <v>595</v>
      </c>
      <c r="D68" s="16" t="n">
        <v>8</v>
      </c>
      <c r="E68" s="34" t="n">
        <f aca="false">2*Parametros!$C$6+(D68-1)*Parametros!$C$7+D68*(C68-Parametros!$C$13)</f>
        <v>4942.72</v>
      </c>
      <c r="F68" s="34" t="n">
        <f aca="false">B68+2*(Parametros!$C$8-Parametros!$C$5)</f>
        <v>372.26</v>
      </c>
      <c r="G68" s="35" t="n">
        <f aca="false">E68*F68/1000000</f>
        <v>1.8399769472</v>
      </c>
      <c r="H68" s="36" t="n">
        <f aca="false">E68/1000</f>
        <v>4.94272</v>
      </c>
      <c r="I68" s="29" t="n">
        <f aca="false">4*$E$4</f>
        <v>28</v>
      </c>
      <c r="J68" s="29" t="n">
        <f aca="false">2*(D68-1)*$E$4</f>
        <v>98</v>
      </c>
      <c r="K68" s="29" t="n">
        <v>0</v>
      </c>
      <c r="L68" s="29" t="n">
        <f aca="false">2*(D68+1)</f>
        <v>18</v>
      </c>
      <c r="M68" s="29" t="n">
        <f aca="false">D68*$E$4</f>
        <v>56</v>
      </c>
      <c r="N68" s="29" t="n">
        <f aca="false">2*D68*$E$4</f>
        <v>112</v>
      </c>
      <c r="O68" s="29" t="n">
        <f aca="false">(D68+1)*$E$4</f>
        <v>63</v>
      </c>
      <c r="P68" s="29" t="n">
        <f aca="false">2*(D68+1)*($E$4-1)</f>
        <v>108</v>
      </c>
    </row>
    <row r="69" customFormat="false" ht="15" hidden="false" customHeight="false" outlineLevel="0" collapsed="false">
      <c r="A69" s="11" t="s">
        <v>167</v>
      </c>
      <c r="B69" s="21" t="n">
        <f aca="false">Parametros!$B$21</f>
        <v>287</v>
      </c>
      <c r="C69" s="21" t="n">
        <f aca="false">Parametros!$B$28</f>
        <v>595</v>
      </c>
      <c r="D69" s="16" t="n">
        <v>9</v>
      </c>
      <c r="E69" s="34" t="n">
        <f aca="false">2*Parametros!$C$6+(D69-1)*Parametros!$C$7+D69*(C69-Parametros!$C$13)</f>
        <v>5557.82</v>
      </c>
      <c r="F69" s="34" t="n">
        <f aca="false">B69+2*(Parametros!$C$8-Parametros!$C$5)</f>
        <v>372.26</v>
      </c>
      <c r="G69" s="35" t="n">
        <f aca="false">E69*F69/1000000</f>
        <v>2.0689540732</v>
      </c>
      <c r="H69" s="36" t="n">
        <f aca="false">E69/1000</f>
        <v>5.55782</v>
      </c>
      <c r="I69" s="29" t="n">
        <f aca="false">4*$E$4</f>
        <v>28</v>
      </c>
      <c r="J69" s="29" t="n">
        <f aca="false">2*(D69-1)*$E$4</f>
        <v>112</v>
      </c>
      <c r="K69" s="29" t="n">
        <v>0</v>
      </c>
      <c r="L69" s="29" t="n">
        <f aca="false">2*(D69+1)</f>
        <v>20</v>
      </c>
      <c r="M69" s="29" t="n">
        <f aca="false">D69*$E$4</f>
        <v>63</v>
      </c>
      <c r="N69" s="29" t="n">
        <f aca="false">2*D69*$E$4</f>
        <v>126</v>
      </c>
      <c r="O69" s="29" t="n">
        <f aca="false">(D69+1)*$E$4</f>
        <v>70</v>
      </c>
      <c r="P69" s="29" t="n">
        <f aca="false">2*(D69+1)*($E$4-1)</f>
        <v>120</v>
      </c>
    </row>
    <row r="70" customFormat="false" ht="15" hidden="false" customHeight="false" outlineLevel="0" collapsed="false">
      <c r="A70" s="11" t="s">
        <v>167</v>
      </c>
      <c r="B70" s="21" t="n">
        <f aca="false">Parametros!$B$21</f>
        <v>287</v>
      </c>
      <c r="C70" s="21" t="n">
        <f aca="false">Parametros!$B$28</f>
        <v>595</v>
      </c>
      <c r="D70" s="16" t="n">
        <v>10</v>
      </c>
      <c r="E70" s="34" t="n">
        <f aca="false">2*Parametros!$C$6+(D70-1)*Parametros!$C$7+D70*(C70-Parametros!$C$13)</f>
        <v>6172.92</v>
      </c>
      <c r="F70" s="34" t="n">
        <f aca="false">B70+2*(Parametros!$C$8-Parametros!$C$5)</f>
        <v>372.26</v>
      </c>
      <c r="G70" s="35" t="n">
        <f aca="false">E70*F70/1000000</f>
        <v>2.2979311992</v>
      </c>
      <c r="H70" s="36" t="n">
        <f aca="false">E70/1000</f>
        <v>6.17292</v>
      </c>
      <c r="I70" s="29" t="n">
        <f aca="false">4*$E$4</f>
        <v>28</v>
      </c>
      <c r="J70" s="29" t="n">
        <f aca="false">2*(D70-1)*$E$4</f>
        <v>126</v>
      </c>
      <c r="K70" s="29" t="n">
        <v>0</v>
      </c>
      <c r="L70" s="29" t="n">
        <f aca="false">2*(D70+1)</f>
        <v>22</v>
      </c>
      <c r="M70" s="29" t="n">
        <f aca="false">D70*$E$4</f>
        <v>70</v>
      </c>
      <c r="N70" s="29" t="n">
        <f aca="false">2*D70*$E$4</f>
        <v>140</v>
      </c>
      <c r="O70" s="29" t="n">
        <f aca="false">(D70+1)*$E$4</f>
        <v>77</v>
      </c>
      <c r="P70" s="29" t="n">
        <f aca="false">2*(D70+1)*($E$4-1)</f>
        <v>132</v>
      </c>
    </row>
    <row r="71" customFormat="false" ht="15" hidden="false" customHeight="false" outlineLevel="0" collapsed="false">
      <c r="A71" s="11" t="s">
        <v>167</v>
      </c>
      <c r="B71" s="21" t="n">
        <f aca="false">Parametros!$B$21</f>
        <v>287</v>
      </c>
      <c r="C71" s="21" t="n">
        <f aca="false">Parametros!$B$28</f>
        <v>595</v>
      </c>
      <c r="D71" s="16" t="n">
        <v>11</v>
      </c>
      <c r="E71" s="34" t="n">
        <f aca="false">2*Parametros!$C$6+(D71-1)*Parametros!$C$7+D71*(C71-Parametros!$C$13)</f>
        <v>6788.02</v>
      </c>
      <c r="F71" s="34" t="n">
        <f aca="false">B71+2*(Parametros!$C$8-Parametros!$C$5)</f>
        <v>372.26</v>
      </c>
      <c r="G71" s="35" t="n">
        <f aca="false">E71*F71/1000000</f>
        <v>2.5269083252</v>
      </c>
      <c r="H71" s="36" t="n">
        <f aca="false">E71/1000</f>
        <v>6.78802</v>
      </c>
      <c r="I71" s="29" t="n">
        <f aca="false">4*$E$4</f>
        <v>28</v>
      </c>
      <c r="J71" s="29" t="n">
        <f aca="false">2*(D71-1)*$E$4</f>
        <v>140</v>
      </c>
      <c r="K71" s="29" t="n">
        <v>0</v>
      </c>
      <c r="L71" s="29" t="n">
        <f aca="false">2*(D71+1)</f>
        <v>24</v>
      </c>
      <c r="M71" s="29" t="n">
        <f aca="false">D71*$E$4</f>
        <v>77</v>
      </c>
      <c r="N71" s="29" t="n">
        <f aca="false">2*D71*$E$4</f>
        <v>154</v>
      </c>
      <c r="O71" s="29" t="n">
        <f aca="false">(D71+1)*$E$4</f>
        <v>84</v>
      </c>
      <c r="P71" s="29" t="n">
        <f aca="false">2*(D71+1)*($E$4-1)</f>
        <v>144</v>
      </c>
    </row>
    <row r="72" customFormat="false" ht="15" hidden="false" customHeight="false" outlineLevel="0" collapsed="false">
      <c r="A72" s="11" t="s">
        <v>167</v>
      </c>
      <c r="B72" s="21" t="n">
        <f aca="false">Parametros!$B$21</f>
        <v>287</v>
      </c>
      <c r="C72" s="21" t="n">
        <f aca="false">Parametros!$B$28</f>
        <v>595</v>
      </c>
      <c r="D72" s="16" t="n">
        <v>12</v>
      </c>
      <c r="E72" s="34" t="n">
        <f aca="false">2*Parametros!$C$6+(D72-1)*Parametros!$C$7+D72*(C72-Parametros!$C$13)</f>
        <v>7403.12</v>
      </c>
      <c r="F72" s="34" t="n">
        <f aca="false">B72+2*(Parametros!$C$8-Parametros!$C$5)</f>
        <v>372.26</v>
      </c>
      <c r="G72" s="35" t="n">
        <f aca="false">E72*F72/1000000</f>
        <v>2.7558854512</v>
      </c>
      <c r="H72" s="36" t="n">
        <f aca="false">E72/1000</f>
        <v>7.40312</v>
      </c>
      <c r="I72" s="29" t="n">
        <f aca="false">4*$E$4</f>
        <v>28</v>
      </c>
      <c r="J72" s="29" t="n">
        <f aca="false">2*(D72-1)*$E$4</f>
        <v>154</v>
      </c>
      <c r="K72" s="29" t="n">
        <v>0</v>
      </c>
      <c r="L72" s="29" t="n">
        <f aca="false">2*(D72+1)</f>
        <v>26</v>
      </c>
      <c r="M72" s="29" t="n">
        <f aca="false">D72*$E$4</f>
        <v>84</v>
      </c>
      <c r="N72" s="29" t="n">
        <f aca="false">2*D72*$E$4</f>
        <v>168</v>
      </c>
      <c r="O72" s="29" t="n">
        <f aca="false">(D72+1)*$E$4</f>
        <v>91</v>
      </c>
      <c r="P72" s="29" t="n">
        <f aca="false">2*(D72+1)*($E$4-1)</f>
        <v>156</v>
      </c>
    </row>
    <row r="73" customFormat="false" ht="15" hidden="false" customHeight="false" outlineLevel="0" collapsed="false">
      <c r="A73" s="11" t="s">
        <v>167</v>
      </c>
      <c r="B73" s="21" t="n">
        <f aca="false">Parametros!$B$21</f>
        <v>287</v>
      </c>
      <c r="C73" s="21" t="n">
        <f aca="false">Parametros!$B$28</f>
        <v>595</v>
      </c>
      <c r="D73" s="16" t="n">
        <v>13</v>
      </c>
      <c r="E73" s="34" t="n">
        <f aca="false">2*Parametros!$C$6+(D73-1)*Parametros!$C$7+D73*(C73-Parametros!$C$13)</f>
        <v>8018.22</v>
      </c>
      <c r="F73" s="34" t="n">
        <f aca="false">B73+2*(Parametros!$C$8-Parametros!$C$5)</f>
        <v>372.26</v>
      </c>
      <c r="G73" s="35" t="n">
        <f aca="false">E73*F73/1000000</f>
        <v>2.9848625772</v>
      </c>
      <c r="H73" s="36" t="n">
        <f aca="false">E73/1000</f>
        <v>8.01822</v>
      </c>
      <c r="I73" s="29" t="n">
        <f aca="false">4*$E$4</f>
        <v>28</v>
      </c>
      <c r="J73" s="29" t="n">
        <f aca="false">2*(D73-1)*$E$4</f>
        <v>168</v>
      </c>
      <c r="K73" s="29" t="n">
        <v>0</v>
      </c>
      <c r="L73" s="29" t="n">
        <f aca="false">2*(D73+1)</f>
        <v>28</v>
      </c>
      <c r="M73" s="29" t="n">
        <f aca="false">D73*$E$4</f>
        <v>91</v>
      </c>
      <c r="N73" s="29" t="n">
        <f aca="false">2*D73*$E$4</f>
        <v>182</v>
      </c>
      <c r="O73" s="29" t="n">
        <f aca="false">(D73+1)*$E$4</f>
        <v>98</v>
      </c>
      <c r="P73" s="29" t="n">
        <f aca="false">2*(D73+1)*($E$4-1)</f>
        <v>168</v>
      </c>
    </row>
    <row r="74" customFormat="false" ht="15" hidden="false" customHeight="false" outlineLevel="0" collapsed="false">
      <c r="A74" s="11" t="s">
        <v>167</v>
      </c>
      <c r="B74" s="21" t="n">
        <f aca="false">Parametros!$B$21</f>
        <v>287</v>
      </c>
      <c r="C74" s="21" t="n">
        <f aca="false">Parametros!$B$28</f>
        <v>595</v>
      </c>
      <c r="D74" s="16" t="n">
        <v>14</v>
      </c>
      <c r="E74" s="34" t="n">
        <f aca="false">2*Parametros!$C$6+(D74-1)*Parametros!$C$7+D74*(C74-Parametros!$C$13)</f>
        <v>8633.32</v>
      </c>
      <c r="F74" s="34" t="n">
        <f aca="false">B74+2*(Parametros!$C$8-Parametros!$C$5)</f>
        <v>372.26</v>
      </c>
      <c r="G74" s="35" t="n">
        <f aca="false">E74*F74/1000000</f>
        <v>3.2138397032</v>
      </c>
      <c r="H74" s="36" t="n">
        <f aca="false">E74/1000</f>
        <v>8.63332</v>
      </c>
      <c r="I74" s="29" t="n">
        <f aca="false">4*$E$4</f>
        <v>28</v>
      </c>
      <c r="J74" s="29" t="n">
        <f aca="false">2*(D74-1)*$E$4</f>
        <v>182</v>
      </c>
      <c r="K74" s="29" t="n">
        <v>0</v>
      </c>
      <c r="L74" s="29" t="n">
        <f aca="false">2*(D74+1)</f>
        <v>30</v>
      </c>
      <c r="M74" s="29" t="n">
        <f aca="false">D74*$E$4</f>
        <v>98</v>
      </c>
      <c r="N74" s="29" t="n">
        <f aca="false">2*D74*$E$4</f>
        <v>196</v>
      </c>
      <c r="O74" s="29" t="n">
        <f aca="false">(D74+1)*$E$4</f>
        <v>105</v>
      </c>
      <c r="P74" s="29" t="n">
        <f aca="false">2*(D74+1)*($E$4-1)</f>
        <v>180</v>
      </c>
    </row>
    <row r="75" customFormat="false" ht="15" hidden="false" customHeight="false" outlineLevel="0" collapsed="false">
      <c r="A75" s="11" t="s">
        <v>167</v>
      </c>
      <c r="B75" s="21" t="n">
        <f aca="false">Parametros!$B$21</f>
        <v>287</v>
      </c>
      <c r="C75" s="21" t="n">
        <f aca="false">Parametros!$B$28</f>
        <v>595</v>
      </c>
      <c r="D75" s="16" t="n">
        <v>15</v>
      </c>
      <c r="E75" s="34" t="n">
        <f aca="false">2*Parametros!$C$6+(D75-1)*Parametros!$C$7+D75*(C75-Parametros!$C$13)</f>
        <v>9248.42</v>
      </c>
      <c r="F75" s="34" t="n">
        <f aca="false">B75+2*(Parametros!$C$8-Parametros!$C$5)</f>
        <v>372.26</v>
      </c>
      <c r="G75" s="35" t="n">
        <f aca="false">E75*F75/1000000</f>
        <v>3.4428168292</v>
      </c>
      <c r="H75" s="36" t="n">
        <f aca="false">E75/1000</f>
        <v>9.24842</v>
      </c>
      <c r="I75" s="29" t="n">
        <f aca="false">4*$E$4</f>
        <v>28</v>
      </c>
      <c r="J75" s="29" t="n">
        <f aca="false">2*(D75-1)*$E$4</f>
        <v>196</v>
      </c>
      <c r="K75" s="29" t="n">
        <v>0</v>
      </c>
      <c r="L75" s="29" t="n">
        <f aca="false">2*(D75+1)</f>
        <v>32</v>
      </c>
      <c r="M75" s="29" t="n">
        <f aca="false">D75*$E$4</f>
        <v>105</v>
      </c>
      <c r="N75" s="29" t="n">
        <f aca="false">2*D75*$E$4</f>
        <v>210</v>
      </c>
      <c r="O75" s="29" t="n">
        <f aca="false">(D75+1)*$E$4</f>
        <v>112</v>
      </c>
      <c r="P75" s="29" t="n">
        <f aca="false">2*(D75+1)*($E$4-1)</f>
        <v>192</v>
      </c>
    </row>
    <row r="76" customFormat="false" ht="15" hidden="false" customHeight="false" outlineLevel="0" collapsed="false">
      <c r="A76" s="11" t="s">
        <v>167</v>
      </c>
      <c r="B76" s="21" t="n">
        <f aca="false">Parametros!$B$21</f>
        <v>287</v>
      </c>
      <c r="C76" s="21" t="n">
        <f aca="false">Parametros!$B$28</f>
        <v>595</v>
      </c>
      <c r="D76" s="16" t="n">
        <v>16</v>
      </c>
      <c r="E76" s="34" t="n">
        <f aca="false">2*Parametros!$C$6+(D76-1)*Parametros!$C$7+D76*(C76-Parametros!$C$13)</f>
        <v>9863.52</v>
      </c>
      <c r="F76" s="34" t="n">
        <f aca="false">B76+2*(Parametros!$C$8-Parametros!$C$5)</f>
        <v>372.26</v>
      </c>
      <c r="G76" s="35" t="n">
        <f aca="false">E76*F76/1000000</f>
        <v>3.6717939552</v>
      </c>
      <c r="H76" s="36" t="n">
        <f aca="false">E76/1000</f>
        <v>9.86352</v>
      </c>
      <c r="I76" s="29" t="n">
        <f aca="false">4*$E$4</f>
        <v>28</v>
      </c>
      <c r="J76" s="29" t="n">
        <f aca="false">2*(D76-1)*$E$4</f>
        <v>210</v>
      </c>
      <c r="K76" s="29" t="n">
        <v>0</v>
      </c>
      <c r="L76" s="29" t="n">
        <f aca="false">2*(D76+1)</f>
        <v>34</v>
      </c>
      <c r="M76" s="29" t="n">
        <f aca="false">D76*$E$4</f>
        <v>112</v>
      </c>
      <c r="N76" s="29" t="n">
        <f aca="false">2*D76*$E$4</f>
        <v>224</v>
      </c>
      <c r="O76" s="29" t="n">
        <f aca="false">(D76+1)*$E$4</f>
        <v>119</v>
      </c>
      <c r="P76" s="29" t="n">
        <f aca="false">2*(D76+1)*($E$4-1)</f>
        <v>204</v>
      </c>
    </row>
    <row r="77" customFormat="false" ht="15" hidden="false" customHeight="false" outlineLevel="0" collapsed="false">
      <c r="A77" s="11" t="s">
        <v>167</v>
      </c>
      <c r="B77" s="21" t="n">
        <f aca="false">Parametros!$B$21</f>
        <v>287</v>
      </c>
      <c r="C77" s="21" t="n">
        <f aca="false">Parametros!$B$28</f>
        <v>595</v>
      </c>
      <c r="D77" s="16" t="n">
        <v>17</v>
      </c>
      <c r="E77" s="34" t="n">
        <f aca="false">2*Parametros!$C$6+(D77-1)*Parametros!$C$7+D77*(C77-Parametros!$C$13)</f>
        <v>10478.62</v>
      </c>
      <c r="F77" s="34" t="n">
        <f aca="false">B77+2*(Parametros!$C$8-Parametros!$C$5)</f>
        <v>372.26</v>
      </c>
      <c r="G77" s="35" t="n">
        <f aca="false">E77*F77/1000000</f>
        <v>3.9007710812</v>
      </c>
      <c r="H77" s="36" t="n">
        <f aca="false">E77/1000</f>
        <v>10.47862</v>
      </c>
      <c r="I77" s="29" t="n">
        <f aca="false">4*$E$4</f>
        <v>28</v>
      </c>
      <c r="J77" s="29" t="n">
        <f aca="false">2*(D77-1)*$E$4</f>
        <v>224</v>
      </c>
      <c r="K77" s="29" t="n">
        <v>0</v>
      </c>
      <c r="L77" s="29" t="n">
        <f aca="false">2*(D77+1)</f>
        <v>36</v>
      </c>
      <c r="M77" s="29" t="n">
        <f aca="false">D77*$E$4</f>
        <v>119</v>
      </c>
      <c r="N77" s="29" t="n">
        <f aca="false">2*D77*$E$4</f>
        <v>238</v>
      </c>
      <c r="O77" s="29" t="n">
        <f aca="false">(D77+1)*$E$4</f>
        <v>126</v>
      </c>
      <c r="P77" s="29" t="n">
        <f aca="false">2*(D77+1)*($E$4-1)</f>
        <v>216</v>
      </c>
    </row>
    <row r="78" customFormat="false" ht="15" hidden="false" customHeight="false" outlineLevel="0" collapsed="false">
      <c r="A78" s="11" t="s">
        <v>167</v>
      </c>
      <c r="B78" s="21" t="n">
        <f aca="false">Parametros!$B$21</f>
        <v>287</v>
      </c>
      <c r="C78" s="21" t="n">
        <f aca="false">Parametros!$B$28</f>
        <v>595</v>
      </c>
      <c r="D78" s="16" t="n">
        <v>18</v>
      </c>
      <c r="E78" s="34" t="n">
        <f aca="false">2*Parametros!$C$6+(D78-1)*Parametros!$C$7+D78*(C78-Parametros!$C$13)</f>
        <v>11093.72</v>
      </c>
      <c r="F78" s="34" t="n">
        <f aca="false">B78+2*(Parametros!$C$8-Parametros!$C$5)</f>
        <v>372.26</v>
      </c>
      <c r="G78" s="35" t="n">
        <f aca="false">E78*F78/1000000</f>
        <v>4.1297482072</v>
      </c>
      <c r="H78" s="36" t="n">
        <f aca="false">E78/1000</f>
        <v>11.09372</v>
      </c>
      <c r="I78" s="29" t="n">
        <f aca="false">4*$E$4</f>
        <v>28</v>
      </c>
      <c r="J78" s="29" t="n">
        <f aca="false">2*(D78-1)*$E$4</f>
        <v>238</v>
      </c>
      <c r="K78" s="29" t="n">
        <v>0</v>
      </c>
      <c r="L78" s="29" t="n">
        <f aca="false">2*(D78+1)</f>
        <v>38</v>
      </c>
      <c r="M78" s="29" t="n">
        <f aca="false">D78*$E$4</f>
        <v>126</v>
      </c>
      <c r="N78" s="29" t="n">
        <f aca="false">2*D78*$E$4</f>
        <v>252</v>
      </c>
      <c r="O78" s="29" t="n">
        <f aca="false">(D78+1)*$E$4</f>
        <v>133</v>
      </c>
      <c r="P78" s="29" t="n">
        <f aca="false">2*(D78+1)*($E$4-1)</f>
        <v>228</v>
      </c>
    </row>
    <row r="79" customFormat="false" ht="15" hidden="false" customHeight="false" outlineLevel="0" collapsed="false">
      <c r="A79" s="11" t="s">
        <v>168</v>
      </c>
      <c r="B79" s="21" t="n">
        <f aca="false">Parametros!$B$21</f>
        <v>287</v>
      </c>
      <c r="C79" s="21" t="n">
        <f aca="false">Parametros!$B$29</f>
        <v>717</v>
      </c>
      <c r="D79" s="16" t="n">
        <v>1</v>
      </c>
      <c r="E79" s="34" t="n">
        <f aca="false">2*Parametros!$C$6+(D79-1)*Parametros!$C$7+D79*(C79-Parametros!$C$13)</f>
        <v>759.02</v>
      </c>
      <c r="F79" s="34" t="n">
        <f aca="false">B79+2*(Parametros!$C$8-Parametros!$C$5)</f>
        <v>372.26</v>
      </c>
      <c r="G79" s="35" t="n">
        <f aca="false">E79*F79/1000000</f>
        <v>0.2825527852</v>
      </c>
      <c r="H79" s="36" t="n">
        <f aca="false">E79/1000</f>
        <v>0.75902</v>
      </c>
      <c r="I79" s="29" t="n">
        <f aca="false">4*$E$4</f>
        <v>28</v>
      </c>
      <c r="J79" s="29" t="n">
        <f aca="false">2*(D79-1)*$E$4</f>
        <v>0</v>
      </c>
      <c r="K79" s="29" t="n">
        <v>0</v>
      </c>
      <c r="L79" s="29" t="n">
        <f aca="false">2*(D79+1)</f>
        <v>4</v>
      </c>
      <c r="M79" s="29" t="n">
        <f aca="false">D79*$E$4</f>
        <v>7</v>
      </c>
      <c r="N79" s="29" t="n">
        <f aca="false">2*D79*$E$4</f>
        <v>14</v>
      </c>
      <c r="O79" s="29" t="n">
        <f aca="false">(D79+1)*$E$4</f>
        <v>14</v>
      </c>
      <c r="P79" s="29" t="n">
        <f aca="false">2*(D79+1)*($E$4-1)</f>
        <v>24</v>
      </c>
    </row>
    <row r="80" customFormat="false" ht="15" hidden="false" customHeight="false" outlineLevel="0" collapsed="false">
      <c r="A80" s="11" t="s">
        <v>168</v>
      </c>
      <c r="B80" s="21" t="n">
        <f aca="false">Parametros!$B$21</f>
        <v>287</v>
      </c>
      <c r="C80" s="21" t="n">
        <f aca="false">Parametros!$B$29</f>
        <v>717</v>
      </c>
      <c r="D80" s="16" t="n">
        <v>2</v>
      </c>
      <c r="E80" s="34" t="n">
        <f aca="false">2*Parametros!$C$6+(D80-1)*Parametros!$C$7+D80*(C80-Parametros!$C$13)</f>
        <v>1496.12</v>
      </c>
      <c r="F80" s="34" t="n">
        <f aca="false">B80+2*(Parametros!$C$8-Parametros!$C$5)</f>
        <v>372.26</v>
      </c>
      <c r="G80" s="35" t="n">
        <f aca="false">E80*F80/1000000</f>
        <v>0.5569456312</v>
      </c>
      <c r="H80" s="36" t="n">
        <f aca="false">E80/1000</f>
        <v>1.49612</v>
      </c>
      <c r="I80" s="29" t="n">
        <f aca="false">4*$E$4</f>
        <v>28</v>
      </c>
      <c r="J80" s="29" t="n">
        <f aca="false">2*(D80-1)*$E$4</f>
        <v>14</v>
      </c>
      <c r="K80" s="29" t="n">
        <v>0</v>
      </c>
      <c r="L80" s="29" t="n">
        <f aca="false">2*(D80+1)</f>
        <v>6</v>
      </c>
      <c r="M80" s="29" t="n">
        <f aca="false">D80*$E$4</f>
        <v>14</v>
      </c>
      <c r="N80" s="29" t="n">
        <f aca="false">2*D80*$E$4</f>
        <v>28</v>
      </c>
      <c r="O80" s="29" t="n">
        <f aca="false">(D80+1)*$E$4</f>
        <v>21</v>
      </c>
      <c r="P80" s="29" t="n">
        <f aca="false">2*(D80+1)*($E$4-1)</f>
        <v>36</v>
      </c>
    </row>
    <row r="81" customFormat="false" ht="15" hidden="false" customHeight="false" outlineLevel="0" collapsed="false">
      <c r="A81" s="11" t="s">
        <v>168</v>
      </c>
      <c r="B81" s="21" t="n">
        <f aca="false">Parametros!$B$21</f>
        <v>287</v>
      </c>
      <c r="C81" s="21" t="n">
        <f aca="false">Parametros!$B$29</f>
        <v>717</v>
      </c>
      <c r="D81" s="16" t="n">
        <v>3</v>
      </c>
      <c r="E81" s="34" t="n">
        <f aca="false">2*Parametros!$C$6+(D81-1)*Parametros!$C$7+D81*(C81-Parametros!$C$13)</f>
        <v>2233.22</v>
      </c>
      <c r="F81" s="34" t="n">
        <f aca="false">B81+2*(Parametros!$C$8-Parametros!$C$5)</f>
        <v>372.26</v>
      </c>
      <c r="G81" s="35" t="n">
        <f aca="false">E81*F81/1000000</f>
        <v>0.8313384772</v>
      </c>
      <c r="H81" s="36" t="n">
        <f aca="false">E81/1000</f>
        <v>2.23322</v>
      </c>
      <c r="I81" s="29" t="n">
        <f aca="false">4*$E$4</f>
        <v>28</v>
      </c>
      <c r="J81" s="29" t="n">
        <f aca="false">2*(D81-1)*$E$4</f>
        <v>28</v>
      </c>
      <c r="K81" s="29" t="n">
        <v>0</v>
      </c>
      <c r="L81" s="29" t="n">
        <f aca="false">2*(D81+1)</f>
        <v>8</v>
      </c>
      <c r="M81" s="29" t="n">
        <f aca="false">D81*$E$4</f>
        <v>21</v>
      </c>
      <c r="N81" s="29" t="n">
        <f aca="false">2*D81*$E$4</f>
        <v>42</v>
      </c>
      <c r="O81" s="29" t="n">
        <f aca="false">(D81+1)*$E$4</f>
        <v>28</v>
      </c>
      <c r="P81" s="29" t="n">
        <f aca="false">2*(D81+1)*($E$4-1)</f>
        <v>48</v>
      </c>
    </row>
    <row r="82" customFormat="false" ht="15" hidden="false" customHeight="false" outlineLevel="0" collapsed="false">
      <c r="A82" s="11" t="s">
        <v>168</v>
      </c>
      <c r="B82" s="21" t="n">
        <f aca="false">Parametros!$B$21</f>
        <v>287</v>
      </c>
      <c r="C82" s="21" t="n">
        <f aca="false">Parametros!$B$29</f>
        <v>717</v>
      </c>
      <c r="D82" s="16" t="n">
        <v>4</v>
      </c>
      <c r="E82" s="34" t="n">
        <f aca="false">2*Parametros!$C$6+(D82-1)*Parametros!$C$7+D82*(C82-Parametros!$C$13)</f>
        <v>2970.32</v>
      </c>
      <c r="F82" s="34" t="n">
        <f aca="false">B82+2*(Parametros!$C$8-Parametros!$C$5)</f>
        <v>372.26</v>
      </c>
      <c r="G82" s="35" t="n">
        <f aca="false">E82*F82/1000000</f>
        <v>1.1057313232</v>
      </c>
      <c r="H82" s="36" t="n">
        <f aca="false">E82/1000</f>
        <v>2.97032</v>
      </c>
      <c r="I82" s="29" t="n">
        <f aca="false">4*$E$4</f>
        <v>28</v>
      </c>
      <c r="J82" s="29" t="n">
        <f aca="false">2*(D82-1)*$E$4</f>
        <v>42</v>
      </c>
      <c r="K82" s="29" t="n">
        <v>0</v>
      </c>
      <c r="L82" s="29" t="n">
        <f aca="false">2*(D82+1)</f>
        <v>10</v>
      </c>
      <c r="M82" s="29" t="n">
        <f aca="false">D82*$E$4</f>
        <v>28</v>
      </c>
      <c r="N82" s="29" t="n">
        <f aca="false">2*D82*$E$4</f>
        <v>56</v>
      </c>
      <c r="O82" s="29" t="n">
        <f aca="false">(D82+1)*$E$4</f>
        <v>35</v>
      </c>
      <c r="P82" s="29" t="n">
        <f aca="false">2*(D82+1)*($E$4-1)</f>
        <v>60</v>
      </c>
    </row>
    <row r="83" customFormat="false" ht="15" hidden="false" customHeight="false" outlineLevel="0" collapsed="false">
      <c r="A83" s="11" t="s">
        <v>168</v>
      </c>
      <c r="B83" s="21" t="n">
        <f aca="false">Parametros!$B$21</f>
        <v>287</v>
      </c>
      <c r="C83" s="21" t="n">
        <f aca="false">Parametros!$B$29</f>
        <v>717</v>
      </c>
      <c r="D83" s="16" t="n">
        <v>5</v>
      </c>
      <c r="E83" s="34" t="n">
        <f aca="false">2*Parametros!$C$6+(D83-1)*Parametros!$C$7+D83*(C83-Parametros!$C$13)</f>
        <v>3707.42</v>
      </c>
      <c r="F83" s="34" t="n">
        <f aca="false">B83+2*(Parametros!$C$8-Parametros!$C$5)</f>
        <v>372.26</v>
      </c>
      <c r="G83" s="35" t="n">
        <f aca="false">E83*F83/1000000</f>
        <v>1.3801241692</v>
      </c>
      <c r="H83" s="36" t="n">
        <f aca="false">E83/1000</f>
        <v>3.70742</v>
      </c>
      <c r="I83" s="29" t="n">
        <f aca="false">4*$E$4</f>
        <v>28</v>
      </c>
      <c r="J83" s="29" t="n">
        <f aca="false">2*(D83-1)*$E$4</f>
        <v>56</v>
      </c>
      <c r="K83" s="29" t="n">
        <v>0</v>
      </c>
      <c r="L83" s="29" t="n">
        <f aca="false">2*(D83+1)</f>
        <v>12</v>
      </c>
      <c r="M83" s="29" t="n">
        <f aca="false">D83*$E$4</f>
        <v>35</v>
      </c>
      <c r="N83" s="29" t="n">
        <f aca="false">2*D83*$E$4</f>
        <v>70</v>
      </c>
      <c r="O83" s="29" t="n">
        <f aca="false">(D83+1)*$E$4</f>
        <v>42</v>
      </c>
      <c r="P83" s="29" t="n">
        <f aca="false">2*(D83+1)*($E$4-1)</f>
        <v>72</v>
      </c>
    </row>
    <row r="84" customFormat="false" ht="15" hidden="false" customHeight="false" outlineLevel="0" collapsed="false">
      <c r="A84" s="11" t="s">
        <v>168</v>
      </c>
      <c r="B84" s="21" t="n">
        <f aca="false">Parametros!$B$21</f>
        <v>287</v>
      </c>
      <c r="C84" s="21" t="n">
        <f aca="false">Parametros!$B$29</f>
        <v>717</v>
      </c>
      <c r="D84" s="16" t="n">
        <v>6</v>
      </c>
      <c r="E84" s="34" t="n">
        <f aca="false">2*Parametros!$C$6+(D84-1)*Parametros!$C$7+D84*(C84-Parametros!$C$13)</f>
        <v>4444.52</v>
      </c>
      <c r="F84" s="34" t="n">
        <f aca="false">B84+2*(Parametros!$C$8-Parametros!$C$5)</f>
        <v>372.26</v>
      </c>
      <c r="G84" s="35" t="n">
        <f aca="false">E84*F84/1000000</f>
        <v>1.6545170152</v>
      </c>
      <c r="H84" s="36" t="n">
        <f aca="false">E84/1000</f>
        <v>4.44452</v>
      </c>
      <c r="I84" s="29" t="n">
        <f aca="false">4*$E$4</f>
        <v>28</v>
      </c>
      <c r="J84" s="29" t="n">
        <f aca="false">2*(D84-1)*$E$4</f>
        <v>70</v>
      </c>
      <c r="K84" s="29" t="n">
        <v>0</v>
      </c>
      <c r="L84" s="29" t="n">
        <f aca="false">2*(D84+1)</f>
        <v>14</v>
      </c>
      <c r="M84" s="29" t="n">
        <f aca="false">D84*$E$4</f>
        <v>42</v>
      </c>
      <c r="N84" s="29" t="n">
        <f aca="false">2*D84*$E$4</f>
        <v>84</v>
      </c>
      <c r="O84" s="29" t="n">
        <f aca="false">(D84+1)*$E$4</f>
        <v>49</v>
      </c>
      <c r="P84" s="29" t="n">
        <f aca="false">2*(D84+1)*($E$4-1)</f>
        <v>84</v>
      </c>
    </row>
    <row r="85" customFormat="false" ht="15" hidden="false" customHeight="false" outlineLevel="0" collapsed="false">
      <c r="A85" s="11" t="s">
        <v>168</v>
      </c>
      <c r="B85" s="21" t="n">
        <f aca="false">Parametros!$B$21</f>
        <v>287</v>
      </c>
      <c r="C85" s="21" t="n">
        <f aca="false">Parametros!$B$29</f>
        <v>717</v>
      </c>
      <c r="D85" s="16" t="n">
        <v>7</v>
      </c>
      <c r="E85" s="34" t="n">
        <f aca="false">2*Parametros!$C$6+(D85-1)*Parametros!$C$7+D85*(C85-Parametros!$C$13)</f>
        <v>5181.62</v>
      </c>
      <c r="F85" s="34" t="n">
        <f aca="false">B85+2*(Parametros!$C$8-Parametros!$C$5)</f>
        <v>372.26</v>
      </c>
      <c r="G85" s="35" t="n">
        <f aca="false">E85*F85/1000000</f>
        <v>1.9289098612</v>
      </c>
      <c r="H85" s="36" t="n">
        <f aca="false">E85/1000</f>
        <v>5.18162</v>
      </c>
      <c r="I85" s="29" t="n">
        <f aca="false">4*$E$4</f>
        <v>28</v>
      </c>
      <c r="J85" s="29" t="n">
        <f aca="false">2*(D85-1)*$E$4</f>
        <v>84</v>
      </c>
      <c r="K85" s="29" t="n">
        <v>0</v>
      </c>
      <c r="L85" s="29" t="n">
        <f aca="false">2*(D85+1)</f>
        <v>16</v>
      </c>
      <c r="M85" s="29" t="n">
        <f aca="false">D85*$E$4</f>
        <v>49</v>
      </c>
      <c r="N85" s="29" t="n">
        <f aca="false">2*D85*$E$4</f>
        <v>98</v>
      </c>
      <c r="O85" s="29" t="n">
        <f aca="false">(D85+1)*$E$4</f>
        <v>56</v>
      </c>
      <c r="P85" s="29" t="n">
        <f aca="false">2*(D85+1)*($E$4-1)</f>
        <v>96</v>
      </c>
    </row>
    <row r="86" customFormat="false" ht="15" hidden="false" customHeight="false" outlineLevel="0" collapsed="false">
      <c r="A86" s="11" t="s">
        <v>168</v>
      </c>
      <c r="B86" s="21" t="n">
        <f aca="false">Parametros!$B$21</f>
        <v>287</v>
      </c>
      <c r="C86" s="21" t="n">
        <f aca="false">Parametros!$B$29</f>
        <v>717</v>
      </c>
      <c r="D86" s="16" t="n">
        <v>8</v>
      </c>
      <c r="E86" s="34" t="n">
        <f aca="false">2*Parametros!$C$6+(D86-1)*Parametros!$C$7+D86*(C86-Parametros!$C$13)</f>
        <v>5918.72</v>
      </c>
      <c r="F86" s="34" t="n">
        <f aca="false">B86+2*(Parametros!$C$8-Parametros!$C$5)</f>
        <v>372.26</v>
      </c>
      <c r="G86" s="35" t="n">
        <f aca="false">E86*F86/1000000</f>
        <v>2.2033027072</v>
      </c>
      <c r="H86" s="36" t="n">
        <f aca="false">E86/1000</f>
        <v>5.91872</v>
      </c>
      <c r="I86" s="29" t="n">
        <f aca="false">4*$E$4</f>
        <v>28</v>
      </c>
      <c r="J86" s="29" t="n">
        <f aca="false">2*(D86-1)*$E$4</f>
        <v>98</v>
      </c>
      <c r="K86" s="29" t="n">
        <v>0</v>
      </c>
      <c r="L86" s="29" t="n">
        <f aca="false">2*(D86+1)</f>
        <v>18</v>
      </c>
      <c r="M86" s="29" t="n">
        <f aca="false">D86*$E$4</f>
        <v>56</v>
      </c>
      <c r="N86" s="29" t="n">
        <f aca="false">2*D86*$E$4</f>
        <v>112</v>
      </c>
      <c r="O86" s="29" t="n">
        <f aca="false">(D86+1)*$E$4</f>
        <v>63</v>
      </c>
      <c r="P86" s="29" t="n">
        <f aca="false">2*(D86+1)*($E$4-1)</f>
        <v>108</v>
      </c>
    </row>
    <row r="87" customFormat="false" ht="15" hidden="false" customHeight="false" outlineLevel="0" collapsed="false">
      <c r="A87" s="11" t="s">
        <v>168</v>
      </c>
      <c r="B87" s="21" t="n">
        <f aca="false">Parametros!$B$21</f>
        <v>287</v>
      </c>
      <c r="C87" s="21" t="n">
        <f aca="false">Parametros!$B$29</f>
        <v>717</v>
      </c>
      <c r="D87" s="16" t="n">
        <v>9</v>
      </c>
      <c r="E87" s="34" t="n">
        <f aca="false">2*Parametros!$C$6+(D87-1)*Parametros!$C$7+D87*(C87-Parametros!$C$13)</f>
        <v>6655.82</v>
      </c>
      <c r="F87" s="34" t="n">
        <f aca="false">B87+2*(Parametros!$C$8-Parametros!$C$5)</f>
        <v>372.26</v>
      </c>
      <c r="G87" s="35" t="n">
        <f aca="false">E87*F87/1000000</f>
        <v>2.4776955532</v>
      </c>
      <c r="H87" s="36" t="n">
        <f aca="false">E87/1000</f>
        <v>6.65582</v>
      </c>
      <c r="I87" s="29" t="n">
        <f aca="false">4*$E$4</f>
        <v>28</v>
      </c>
      <c r="J87" s="29" t="n">
        <f aca="false">2*(D87-1)*$E$4</f>
        <v>112</v>
      </c>
      <c r="K87" s="29" t="n">
        <v>0</v>
      </c>
      <c r="L87" s="29" t="n">
        <f aca="false">2*(D87+1)</f>
        <v>20</v>
      </c>
      <c r="M87" s="29" t="n">
        <f aca="false">D87*$E$4</f>
        <v>63</v>
      </c>
      <c r="N87" s="29" t="n">
        <f aca="false">2*D87*$E$4</f>
        <v>126</v>
      </c>
      <c r="O87" s="29" t="n">
        <f aca="false">(D87+1)*$E$4</f>
        <v>70</v>
      </c>
      <c r="P87" s="29" t="n">
        <f aca="false">2*(D87+1)*($E$4-1)</f>
        <v>120</v>
      </c>
    </row>
    <row r="88" customFormat="false" ht="15" hidden="false" customHeight="false" outlineLevel="0" collapsed="false">
      <c r="A88" s="11" t="s">
        <v>168</v>
      </c>
      <c r="B88" s="21" t="n">
        <f aca="false">Parametros!$B$21</f>
        <v>287</v>
      </c>
      <c r="C88" s="21" t="n">
        <f aca="false">Parametros!$B$29</f>
        <v>717</v>
      </c>
      <c r="D88" s="16" t="n">
        <v>10</v>
      </c>
      <c r="E88" s="34" t="n">
        <f aca="false">2*Parametros!$C$6+(D88-1)*Parametros!$C$7+D88*(C88-Parametros!$C$13)</f>
        <v>7392.92</v>
      </c>
      <c r="F88" s="34" t="n">
        <f aca="false">B88+2*(Parametros!$C$8-Parametros!$C$5)</f>
        <v>372.26</v>
      </c>
      <c r="G88" s="35" t="n">
        <f aca="false">E88*F88/1000000</f>
        <v>2.7520883992</v>
      </c>
      <c r="H88" s="36" t="n">
        <f aca="false">E88/1000</f>
        <v>7.39292</v>
      </c>
      <c r="I88" s="29" t="n">
        <f aca="false">4*$E$4</f>
        <v>28</v>
      </c>
      <c r="J88" s="29" t="n">
        <f aca="false">2*(D88-1)*$E$4</f>
        <v>126</v>
      </c>
      <c r="K88" s="29" t="n">
        <v>0</v>
      </c>
      <c r="L88" s="29" t="n">
        <f aca="false">2*(D88+1)</f>
        <v>22</v>
      </c>
      <c r="M88" s="29" t="n">
        <f aca="false">D88*$E$4</f>
        <v>70</v>
      </c>
      <c r="N88" s="29" t="n">
        <f aca="false">2*D88*$E$4</f>
        <v>140</v>
      </c>
      <c r="O88" s="29" t="n">
        <f aca="false">(D88+1)*$E$4</f>
        <v>77</v>
      </c>
      <c r="P88" s="29" t="n">
        <f aca="false">2*(D88+1)*($E$4-1)</f>
        <v>132</v>
      </c>
    </row>
    <row r="89" customFormat="false" ht="15" hidden="false" customHeight="false" outlineLevel="0" collapsed="false">
      <c r="A89" s="11" t="s">
        <v>168</v>
      </c>
      <c r="B89" s="21" t="n">
        <f aca="false">Parametros!$B$21</f>
        <v>287</v>
      </c>
      <c r="C89" s="21" t="n">
        <f aca="false">Parametros!$B$29</f>
        <v>717</v>
      </c>
      <c r="D89" s="16" t="n">
        <v>11</v>
      </c>
      <c r="E89" s="34" t="n">
        <f aca="false">2*Parametros!$C$6+(D89-1)*Parametros!$C$7+D89*(C89-Parametros!$C$13)</f>
        <v>8130.02</v>
      </c>
      <c r="F89" s="34" t="n">
        <f aca="false">B89+2*(Parametros!$C$8-Parametros!$C$5)</f>
        <v>372.26</v>
      </c>
      <c r="G89" s="35" t="n">
        <f aca="false">E89*F89/1000000</f>
        <v>3.0264812452</v>
      </c>
      <c r="H89" s="36" t="n">
        <f aca="false">E89/1000</f>
        <v>8.13002</v>
      </c>
      <c r="I89" s="29" t="n">
        <f aca="false">4*$E$4</f>
        <v>28</v>
      </c>
      <c r="J89" s="29" t="n">
        <f aca="false">2*(D89-1)*$E$4</f>
        <v>140</v>
      </c>
      <c r="K89" s="29" t="n">
        <v>0</v>
      </c>
      <c r="L89" s="29" t="n">
        <f aca="false">2*(D89+1)</f>
        <v>24</v>
      </c>
      <c r="M89" s="29" t="n">
        <f aca="false">D89*$E$4</f>
        <v>77</v>
      </c>
      <c r="N89" s="29" t="n">
        <f aca="false">2*D89*$E$4</f>
        <v>154</v>
      </c>
      <c r="O89" s="29" t="n">
        <f aca="false">(D89+1)*$E$4</f>
        <v>84</v>
      </c>
      <c r="P89" s="29" t="n">
        <f aca="false">2*(D89+1)*($E$4-1)</f>
        <v>144</v>
      </c>
    </row>
    <row r="90" customFormat="false" ht="15" hidden="false" customHeight="false" outlineLevel="0" collapsed="false">
      <c r="A90" s="11" t="s">
        <v>168</v>
      </c>
      <c r="B90" s="21" t="n">
        <f aca="false">Parametros!$B$21</f>
        <v>287</v>
      </c>
      <c r="C90" s="21" t="n">
        <f aca="false">Parametros!$B$29</f>
        <v>717</v>
      </c>
      <c r="D90" s="16" t="n">
        <v>12</v>
      </c>
      <c r="E90" s="34" t="n">
        <f aca="false">2*Parametros!$C$6+(D90-1)*Parametros!$C$7+D90*(C90-Parametros!$C$13)</f>
        <v>8867.12</v>
      </c>
      <c r="F90" s="34" t="n">
        <f aca="false">B90+2*(Parametros!$C$8-Parametros!$C$5)</f>
        <v>372.26</v>
      </c>
      <c r="G90" s="35" t="n">
        <f aca="false">E90*F90/1000000</f>
        <v>3.3008740912</v>
      </c>
      <c r="H90" s="36" t="n">
        <f aca="false">E90/1000</f>
        <v>8.86712</v>
      </c>
      <c r="I90" s="29" t="n">
        <f aca="false">4*$E$4</f>
        <v>28</v>
      </c>
      <c r="J90" s="29" t="n">
        <f aca="false">2*(D90-1)*$E$4</f>
        <v>154</v>
      </c>
      <c r="K90" s="29" t="n">
        <v>0</v>
      </c>
      <c r="L90" s="29" t="n">
        <f aca="false">2*(D90+1)</f>
        <v>26</v>
      </c>
      <c r="M90" s="29" t="n">
        <f aca="false">D90*$E$4</f>
        <v>84</v>
      </c>
      <c r="N90" s="29" t="n">
        <f aca="false">2*D90*$E$4</f>
        <v>168</v>
      </c>
      <c r="O90" s="29" t="n">
        <f aca="false">(D90+1)*$E$4</f>
        <v>91</v>
      </c>
      <c r="P90" s="29" t="n">
        <f aca="false">2*(D90+1)*($E$4-1)</f>
        <v>156</v>
      </c>
    </row>
    <row r="91" customFormat="false" ht="15" hidden="false" customHeight="false" outlineLevel="0" collapsed="false">
      <c r="A91" s="11" t="s">
        <v>168</v>
      </c>
      <c r="B91" s="21" t="n">
        <f aca="false">Parametros!$B$21</f>
        <v>287</v>
      </c>
      <c r="C91" s="21" t="n">
        <f aca="false">Parametros!$B$29</f>
        <v>717</v>
      </c>
      <c r="D91" s="16" t="n">
        <v>13</v>
      </c>
      <c r="E91" s="34" t="n">
        <f aca="false">2*Parametros!$C$6+(D91-1)*Parametros!$C$7+D91*(C91-Parametros!$C$13)</f>
        <v>9604.22</v>
      </c>
      <c r="F91" s="34" t="n">
        <f aca="false">B91+2*(Parametros!$C$8-Parametros!$C$5)</f>
        <v>372.26</v>
      </c>
      <c r="G91" s="35" t="n">
        <f aca="false">E91*F91/1000000</f>
        <v>3.5752669372</v>
      </c>
      <c r="H91" s="36" t="n">
        <f aca="false">E91/1000</f>
        <v>9.60422</v>
      </c>
      <c r="I91" s="29" t="n">
        <f aca="false">4*$E$4</f>
        <v>28</v>
      </c>
      <c r="J91" s="29" t="n">
        <f aca="false">2*(D91-1)*$E$4</f>
        <v>168</v>
      </c>
      <c r="K91" s="29" t="n">
        <v>0</v>
      </c>
      <c r="L91" s="29" t="n">
        <f aca="false">2*(D91+1)</f>
        <v>28</v>
      </c>
      <c r="M91" s="29" t="n">
        <f aca="false">D91*$E$4</f>
        <v>91</v>
      </c>
      <c r="N91" s="29" t="n">
        <f aca="false">2*D91*$E$4</f>
        <v>182</v>
      </c>
      <c r="O91" s="29" t="n">
        <f aca="false">(D91+1)*$E$4</f>
        <v>98</v>
      </c>
      <c r="P91" s="29" t="n">
        <f aca="false">2*(D91+1)*($E$4-1)</f>
        <v>168</v>
      </c>
    </row>
    <row r="92" customFormat="false" ht="15" hidden="false" customHeight="false" outlineLevel="0" collapsed="false">
      <c r="A92" s="11" t="s">
        <v>168</v>
      </c>
      <c r="B92" s="21" t="n">
        <f aca="false">Parametros!$B$21</f>
        <v>287</v>
      </c>
      <c r="C92" s="21" t="n">
        <f aca="false">Parametros!$B$29</f>
        <v>717</v>
      </c>
      <c r="D92" s="16" t="n">
        <v>14</v>
      </c>
      <c r="E92" s="34" t="n">
        <f aca="false">2*Parametros!$C$6+(D92-1)*Parametros!$C$7+D92*(C92-Parametros!$C$13)</f>
        <v>10341.32</v>
      </c>
      <c r="F92" s="34" t="n">
        <f aca="false">B92+2*(Parametros!$C$8-Parametros!$C$5)</f>
        <v>372.26</v>
      </c>
      <c r="G92" s="35" t="n">
        <f aca="false">E92*F92/1000000</f>
        <v>3.8496597832</v>
      </c>
      <c r="H92" s="36" t="n">
        <f aca="false">E92/1000</f>
        <v>10.34132</v>
      </c>
      <c r="I92" s="29" t="n">
        <f aca="false">4*$E$4</f>
        <v>28</v>
      </c>
      <c r="J92" s="29" t="n">
        <f aca="false">2*(D92-1)*$E$4</f>
        <v>182</v>
      </c>
      <c r="K92" s="29" t="n">
        <v>0</v>
      </c>
      <c r="L92" s="29" t="n">
        <f aca="false">2*(D92+1)</f>
        <v>30</v>
      </c>
      <c r="M92" s="29" t="n">
        <f aca="false">D92*$E$4</f>
        <v>98</v>
      </c>
      <c r="N92" s="29" t="n">
        <f aca="false">2*D92*$E$4</f>
        <v>196</v>
      </c>
      <c r="O92" s="29" t="n">
        <f aca="false">(D92+1)*$E$4</f>
        <v>105</v>
      </c>
      <c r="P92" s="29" t="n">
        <f aca="false">2*(D92+1)*($E$4-1)</f>
        <v>180</v>
      </c>
    </row>
    <row r="93" customFormat="false" ht="15" hidden="false" customHeight="false" outlineLevel="0" collapsed="false">
      <c r="A93" s="11" t="s">
        <v>168</v>
      </c>
      <c r="B93" s="21" t="n">
        <f aca="false">Parametros!$B$21</f>
        <v>287</v>
      </c>
      <c r="C93" s="21" t="n">
        <f aca="false">Parametros!$B$29</f>
        <v>717</v>
      </c>
      <c r="D93" s="16" t="n">
        <v>15</v>
      </c>
      <c r="E93" s="34" t="n">
        <f aca="false">2*Parametros!$C$6+(D93-1)*Parametros!$C$7+D93*(C93-Parametros!$C$13)</f>
        <v>11078.42</v>
      </c>
      <c r="F93" s="34" t="n">
        <f aca="false">B93+2*(Parametros!$C$8-Parametros!$C$5)</f>
        <v>372.26</v>
      </c>
      <c r="G93" s="35" t="n">
        <f aca="false">E93*F93/1000000</f>
        <v>4.1240526292</v>
      </c>
      <c r="H93" s="36" t="n">
        <f aca="false">E93/1000</f>
        <v>11.07842</v>
      </c>
      <c r="I93" s="29" t="n">
        <f aca="false">4*$E$4</f>
        <v>28</v>
      </c>
      <c r="J93" s="29" t="n">
        <f aca="false">2*(D93-1)*$E$4</f>
        <v>196</v>
      </c>
      <c r="K93" s="29" t="n">
        <v>0</v>
      </c>
      <c r="L93" s="29" t="n">
        <f aca="false">2*(D93+1)</f>
        <v>32</v>
      </c>
      <c r="M93" s="29" t="n">
        <f aca="false">D93*$E$4</f>
        <v>105</v>
      </c>
      <c r="N93" s="29" t="n">
        <f aca="false">2*D93*$E$4</f>
        <v>210</v>
      </c>
      <c r="O93" s="29" t="n">
        <f aca="false">(D93+1)*$E$4</f>
        <v>112</v>
      </c>
      <c r="P93" s="29" t="n">
        <f aca="false">2*(D93+1)*($E$4-1)</f>
        <v>192</v>
      </c>
    </row>
    <row r="94" customFormat="false" ht="15" hidden="false" customHeight="false" outlineLevel="0" collapsed="false">
      <c r="A94" s="11" t="s">
        <v>168</v>
      </c>
      <c r="B94" s="21" t="n">
        <f aca="false">Parametros!$B$21</f>
        <v>287</v>
      </c>
      <c r="C94" s="21" t="n">
        <f aca="false">Parametros!$B$29</f>
        <v>717</v>
      </c>
      <c r="D94" s="16" t="n">
        <v>16</v>
      </c>
      <c r="E94" s="34" t="n">
        <f aca="false">2*Parametros!$C$6+(D94-1)*Parametros!$C$7+D94*(C94-Parametros!$C$13)</f>
        <v>11815.52</v>
      </c>
      <c r="F94" s="34" t="n">
        <f aca="false">B94+2*(Parametros!$C$8-Parametros!$C$5)</f>
        <v>372.26</v>
      </c>
      <c r="G94" s="35" t="n">
        <f aca="false">E94*F94/1000000</f>
        <v>4.3984454752</v>
      </c>
      <c r="H94" s="36" t="n">
        <f aca="false">E94/1000</f>
        <v>11.81552</v>
      </c>
      <c r="I94" s="29" t="n">
        <f aca="false">4*$E$4</f>
        <v>28</v>
      </c>
      <c r="J94" s="29" t="n">
        <f aca="false">2*(D94-1)*$E$4</f>
        <v>210</v>
      </c>
      <c r="K94" s="29" t="n">
        <v>0</v>
      </c>
      <c r="L94" s="29" t="n">
        <f aca="false">2*(D94+1)</f>
        <v>34</v>
      </c>
      <c r="M94" s="29" t="n">
        <f aca="false">D94*$E$4</f>
        <v>112</v>
      </c>
      <c r="N94" s="29" t="n">
        <f aca="false">2*D94*$E$4</f>
        <v>224</v>
      </c>
      <c r="O94" s="29" t="n">
        <f aca="false">(D94+1)*$E$4</f>
        <v>119</v>
      </c>
      <c r="P94" s="29" t="n">
        <f aca="false">2*(D94+1)*($E$4-1)</f>
        <v>204</v>
      </c>
    </row>
    <row r="95" customFormat="false" ht="15" hidden="false" customHeight="false" outlineLevel="0" collapsed="false">
      <c r="A95" s="11" t="s">
        <v>168</v>
      </c>
      <c r="B95" s="21" t="n">
        <f aca="false">Parametros!$B$21</f>
        <v>287</v>
      </c>
      <c r="C95" s="21" t="n">
        <f aca="false">Parametros!$B$29</f>
        <v>717</v>
      </c>
      <c r="D95" s="16" t="n">
        <v>17</v>
      </c>
      <c r="E95" s="34" t="n">
        <f aca="false">2*Parametros!$C$6+(D95-1)*Parametros!$C$7+D95*(C95-Parametros!$C$13)</f>
        <v>12552.62</v>
      </c>
      <c r="F95" s="34" t="n">
        <f aca="false">B95+2*(Parametros!$C$8-Parametros!$C$5)</f>
        <v>372.26</v>
      </c>
      <c r="G95" s="35" t="n">
        <f aca="false">E95*F95/1000000</f>
        <v>4.6728383212</v>
      </c>
      <c r="H95" s="36" t="n">
        <f aca="false">E95/1000</f>
        <v>12.55262</v>
      </c>
      <c r="I95" s="29" t="n">
        <f aca="false">4*$E$4</f>
        <v>28</v>
      </c>
      <c r="J95" s="29" t="n">
        <f aca="false">2*(D95-1)*$E$4</f>
        <v>224</v>
      </c>
      <c r="K95" s="29" t="n">
        <v>0</v>
      </c>
      <c r="L95" s="29" t="n">
        <f aca="false">2*(D95+1)</f>
        <v>36</v>
      </c>
      <c r="M95" s="29" t="n">
        <f aca="false">D95*$E$4</f>
        <v>119</v>
      </c>
      <c r="N95" s="29" t="n">
        <f aca="false">2*D95*$E$4</f>
        <v>238</v>
      </c>
      <c r="O95" s="29" t="n">
        <f aca="false">(D95+1)*$E$4</f>
        <v>126</v>
      </c>
      <c r="P95" s="29" t="n">
        <f aca="false">2*(D95+1)*($E$4-1)</f>
        <v>216</v>
      </c>
    </row>
    <row r="96" customFormat="false" ht="15" hidden="false" customHeight="false" outlineLevel="0" collapsed="false">
      <c r="A96" s="11" t="s">
        <v>168</v>
      </c>
      <c r="B96" s="21" t="n">
        <f aca="false">Parametros!$B$21</f>
        <v>287</v>
      </c>
      <c r="C96" s="21" t="n">
        <f aca="false">Parametros!$B$29</f>
        <v>717</v>
      </c>
      <c r="D96" s="16" t="n">
        <v>18</v>
      </c>
      <c r="E96" s="34" t="n">
        <f aca="false">2*Parametros!$C$6+(D96-1)*Parametros!$C$7+D96*(C96-Parametros!$C$13)</f>
        <v>13289.72</v>
      </c>
      <c r="F96" s="34" t="n">
        <f aca="false">B96+2*(Parametros!$C$8-Parametros!$C$5)</f>
        <v>372.26</v>
      </c>
      <c r="G96" s="35" t="n">
        <f aca="false">E96*F96/1000000</f>
        <v>4.9472311672</v>
      </c>
      <c r="H96" s="36" t="n">
        <f aca="false">E96/1000</f>
        <v>13.28972</v>
      </c>
      <c r="I96" s="29" t="n">
        <f aca="false">4*$E$4</f>
        <v>28</v>
      </c>
      <c r="J96" s="29" t="n">
        <f aca="false">2*(D96-1)*$E$4</f>
        <v>238</v>
      </c>
      <c r="K96" s="29" t="n">
        <v>0</v>
      </c>
      <c r="L96" s="29" t="n">
        <f aca="false">2*(D96+1)</f>
        <v>38</v>
      </c>
      <c r="M96" s="29" t="n">
        <f aca="false">D96*$E$4</f>
        <v>126</v>
      </c>
      <c r="N96" s="29" t="n">
        <f aca="false">2*D96*$E$4</f>
        <v>252</v>
      </c>
      <c r="O96" s="29" t="n">
        <f aca="false">(D96+1)*$E$4</f>
        <v>133</v>
      </c>
      <c r="P96" s="29" t="n">
        <f aca="false">2*(D96+1)*($E$4-1)</f>
        <v>228</v>
      </c>
    </row>
    <row r="97" customFormat="false" ht="15" hidden="false" customHeight="false" outlineLevel="0" collapsed="false">
      <c r="A97" s="11" t="s">
        <v>169</v>
      </c>
      <c r="B97" s="21" t="n">
        <f aca="false">Parametros!$B$22</f>
        <v>415</v>
      </c>
      <c r="C97" s="21" t="n">
        <f aca="false">Parametros!$B$28</f>
        <v>595</v>
      </c>
      <c r="D97" s="16" t="n">
        <v>1</v>
      </c>
      <c r="E97" s="34" t="n">
        <f aca="false">2*Parametros!$C$6+(D97-1)*Parametros!$C$7+D97*(C97-Parametros!$C$13)</f>
        <v>637.02</v>
      </c>
      <c r="F97" s="34" t="n">
        <f aca="false">B97+2*(Parametros!$C$8-Parametros!$C$5)</f>
        <v>500.26</v>
      </c>
      <c r="G97" s="35" t="n">
        <f aca="false">E97*F97/1000000</f>
        <v>0.3186756252</v>
      </c>
      <c r="H97" s="36" t="n">
        <f aca="false">E97/1000</f>
        <v>0.63702</v>
      </c>
      <c r="I97" s="29" t="n">
        <f aca="false">4*$E$4</f>
        <v>28</v>
      </c>
      <c r="J97" s="29" t="n">
        <f aca="false">2*(D97-1)*$E$4</f>
        <v>0</v>
      </c>
      <c r="K97" s="29" t="n">
        <v>0</v>
      </c>
      <c r="L97" s="29" t="n">
        <f aca="false">2*(D97+1)</f>
        <v>4</v>
      </c>
      <c r="M97" s="29" t="n">
        <f aca="false">D97*$E$4</f>
        <v>7</v>
      </c>
      <c r="N97" s="29" t="n">
        <f aca="false">2*D97*$E$4</f>
        <v>14</v>
      </c>
      <c r="O97" s="29" t="n">
        <f aca="false">(D97+1)*$E$4</f>
        <v>14</v>
      </c>
      <c r="P97" s="29" t="n">
        <f aca="false">2*(D97+1)*($E$4-1)</f>
        <v>24</v>
      </c>
    </row>
    <row r="98" customFormat="false" ht="15" hidden="false" customHeight="false" outlineLevel="0" collapsed="false">
      <c r="A98" s="11" t="s">
        <v>169</v>
      </c>
      <c r="B98" s="21" t="n">
        <f aca="false">Parametros!$B$22</f>
        <v>415</v>
      </c>
      <c r="C98" s="21" t="n">
        <f aca="false">Parametros!$B$28</f>
        <v>595</v>
      </c>
      <c r="D98" s="16" t="n">
        <v>2</v>
      </c>
      <c r="E98" s="34" t="n">
        <f aca="false">2*Parametros!$C$6+(D98-1)*Parametros!$C$7+D98*(C98-Parametros!$C$13)</f>
        <v>1252.12</v>
      </c>
      <c r="F98" s="34" t="n">
        <f aca="false">B98+2*(Parametros!$C$8-Parametros!$C$5)</f>
        <v>500.26</v>
      </c>
      <c r="G98" s="35" t="n">
        <f aca="false">E98*F98/1000000</f>
        <v>0.6263855512</v>
      </c>
      <c r="H98" s="36" t="n">
        <f aca="false">E98/1000</f>
        <v>1.25212</v>
      </c>
      <c r="I98" s="29" t="n">
        <f aca="false">4*$E$4</f>
        <v>28</v>
      </c>
      <c r="J98" s="29" t="n">
        <f aca="false">2*(D98-1)*$E$4</f>
        <v>14</v>
      </c>
      <c r="K98" s="29" t="n">
        <v>0</v>
      </c>
      <c r="L98" s="29" t="n">
        <f aca="false">2*(D98+1)</f>
        <v>6</v>
      </c>
      <c r="M98" s="29" t="n">
        <f aca="false">D98*$E$4</f>
        <v>14</v>
      </c>
      <c r="N98" s="29" t="n">
        <f aca="false">2*D98*$E$4</f>
        <v>28</v>
      </c>
      <c r="O98" s="29" t="n">
        <f aca="false">(D98+1)*$E$4</f>
        <v>21</v>
      </c>
      <c r="P98" s="29" t="n">
        <f aca="false">2*(D98+1)*($E$4-1)</f>
        <v>36</v>
      </c>
    </row>
    <row r="99" customFormat="false" ht="15" hidden="false" customHeight="false" outlineLevel="0" collapsed="false">
      <c r="A99" s="11" t="s">
        <v>169</v>
      </c>
      <c r="B99" s="21" t="n">
        <f aca="false">Parametros!$B$22</f>
        <v>415</v>
      </c>
      <c r="C99" s="21" t="n">
        <f aca="false">Parametros!$B$28</f>
        <v>595</v>
      </c>
      <c r="D99" s="16" t="n">
        <v>3</v>
      </c>
      <c r="E99" s="34" t="n">
        <f aca="false">2*Parametros!$C$6+(D99-1)*Parametros!$C$7+D99*(C99-Parametros!$C$13)</f>
        <v>1867.22</v>
      </c>
      <c r="F99" s="34" t="n">
        <f aca="false">B99+2*(Parametros!$C$8-Parametros!$C$5)</f>
        <v>500.26</v>
      </c>
      <c r="G99" s="35" t="n">
        <f aca="false">E99*F99/1000000</f>
        <v>0.9340954772</v>
      </c>
      <c r="H99" s="36" t="n">
        <f aca="false">E99/1000</f>
        <v>1.86722</v>
      </c>
      <c r="I99" s="29" t="n">
        <f aca="false">4*$E$4</f>
        <v>28</v>
      </c>
      <c r="J99" s="29" t="n">
        <f aca="false">2*(D99-1)*$E$4</f>
        <v>28</v>
      </c>
      <c r="K99" s="29" t="n">
        <v>0</v>
      </c>
      <c r="L99" s="29" t="n">
        <f aca="false">2*(D99+1)</f>
        <v>8</v>
      </c>
      <c r="M99" s="29" t="n">
        <f aca="false">D99*$E$4</f>
        <v>21</v>
      </c>
      <c r="N99" s="29" t="n">
        <f aca="false">2*D99*$E$4</f>
        <v>42</v>
      </c>
      <c r="O99" s="29" t="n">
        <f aca="false">(D99+1)*$E$4</f>
        <v>28</v>
      </c>
      <c r="P99" s="29" t="n">
        <f aca="false">2*(D99+1)*($E$4-1)</f>
        <v>48</v>
      </c>
    </row>
    <row r="100" customFormat="false" ht="15" hidden="false" customHeight="false" outlineLevel="0" collapsed="false">
      <c r="A100" s="11" t="s">
        <v>169</v>
      </c>
      <c r="B100" s="21" t="n">
        <f aca="false">Parametros!$B$22</f>
        <v>415</v>
      </c>
      <c r="C100" s="21" t="n">
        <f aca="false">Parametros!$B$28</f>
        <v>595</v>
      </c>
      <c r="D100" s="16" t="n">
        <v>4</v>
      </c>
      <c r="E100" s="34" t="n">
        <f aca="false">2*Parametros!$C$6+(D100-1)*Parametros!$C$7+D100*(C100-Parametros!$C$13)</f>
        <v>2482.32</v>
      </c>
      <c r="F100" s="34" t="n">
        <f aca="false">B100+2*(Parametros!$C$8-Parametros!$C$5)</f>
        <v>500.26</v>
      </c>
      <c r="G100" s="35" t="n">
        <f aca="false">E100*F100/1000000</f>
        <v>1.2418054032</v>
      </c>
      <c r="H100" s="36" t="n">
        <f aca="false">E100/1000</f>
        <v>2.48232</v>
      </c>
      <c r="I100" s="29" t="n">
        <f aca="false">4*$E$4</f>
        <v>28</v>
      </c>
      <c r="J100" s="29" t="n">
        <f aca="false">2*(D100-1)*$E$4</f>
        <v>42</v>
      </c>
      <c r="K100" s="29" t="n">
        <v>0</v>
      </c>
      <c r="L100" s="29" t="n">
        <f aca="false">2*(D100+1)</f>
        <v>10</v>
      </c>
      <c r="M100" s="29" t="n">
        <f aca="false">D100*$E$4</f>
        <v>28</v>
      </c>
      <c r="N100" s="29" t="n">
        <f aca="false">2*D100*$E$4</f>
        <v>56</v>
      </c>
      <c r="O100" s="29" t="n">
        <f aca="false">(D100+1)*$E$4</f>
        <v>35</v>
      </c>
      <c r="P100" s="29" t="n">
        <f aca="false">2*(D100+1)*($E$4-1)</f>
        <v>60</v>
      </c>
    </row>
    <row r="101" customFormat="false" ht="15" hidden="false" customHeight="false" outlineLevel="0" collapsed="false">
      <c r="A101" s="11" t="s">
        <v>169</v>
      </c>
      <c r="B101" s="21" t="n">
        <f aca="false">Parametros!$B$22</f>
        <v>415</v>
      </c>
      <c r="C101" s="21" t="n">
        <f aca="false">Parametros!$B$28</f>
        <v>595</v>
      </c>
      <c r="D101" s="16" t="n">
        <v>5</v>
      </c>
      <c r="E101" s="34" t="n">
        <f aca="false">2*Parametros!$C$6+(D101-1)*Parametros!$C$7+D101*(C101-Parametros!$C$13)</f>
        <v>3097.42</v>
      </c>
      <c r="F101" s="34" t="n">
        <f aca="false">B101+2*(Parametros!$C$8-Parametros!$C$5)</f>
        <v>500.26</v>
      </c>
      <c r="G101" s="35" t="n">
        <f aca="false">E101*F101/1000000</f>
        <v>1.5495153292</v>
      </c>
      <c r="H101" s="36" t="n">
        <f aca="false">E101/1000</f>
        <v>3.09742</v>
      </c>
      <c r="I101" s="29" t="n">
        <f aca="false">4*$E$4</f>
        <v>28</v>
      </c>
      <c r="J101" s="29" t="n">
        <f aca="false">2*(D101-1)*$E$4</f>
        <v>56</v>
      </c>
      <c r="K101" s="29" t="n">
        <v>0</v>
      </c>
      <c r="L101" s="29" t="n">
        <f aca="false">2*(D101+1)</f>
        <v>12</v>
      </c>
      <c r="M101" s="29" t="n">
        <f aca="false">D101*$E$4</f>
        <v>35</v>
      </c>
      <c r="N101" s="29" t="n">
        <f aca="false">2*D101*$E$4</f>
        <v>70</v>
      </c>
      <c r="O101" s="29" t="n">
        <f aca="false">(D101+1)*$E$4</f>
        <v>42</v>
      </c>
      <c r="P101" s="29" t="n">
        <f aca="false">2*(D101+1)*($E$4-1)</f>
        <v>72</v>
      </c>
    </row>
    <row r="102" customFormat="false" ht="15" hidden="false" customHeight="false" outlineLevel="0" collapsed="false">
      <c r="A102" s="11" t="s">
        <v>169</v>
      </c>
      <c r="B102" s="21" t="n">
        <f aca="false">Parametros!$B$22</f>
        <v>415</v>
      </c>
      <c r="C102" s="21" t="n">
        <f aca="false">Parametros!$B$28</f>
        <v>595</v>
      </c>
      <c r="D102" s="16" t="n">
        <v>6</v>
      </c>
      <c r="E102" s="34" t="n">
        <f aca="false">2*Parametros!$C$6+(D102-1)*Parametros!$C$7+D102*(C102-Parametros!$C$13)</f>
        <v>3712.52</v>
      </c>
      <c r="F102" s="34" t="n">
        <f aca="false">B102+2*(Parametros!$C$8-Parametros!$C$5)</f>
        <v>500.26</v>
      </c>
      <c r="G102" s="35" t="n">
        <f aca="false">E102*F102/1000000</f>
        <v>1.8572252552</v>
      </c>
      <c r="H102" s="36" t="n">
        <f aca="false">E102/1000</f>
        <v>3.71252</v>
      </c>
      <c r="I102" s="29" t="n">
        <f aca="false">4*$E$4</f>
        <v>28</v>
      </c>
      <c r="J102" s="29" t="n">
        <f aca="false">2*(D102-1)*$E$4</f>
        <v>70</v>
      </c>
      <c r="K102" s="29" t="n">
        <v>0</v>
      </c>
      <c r="L102" s="29" t="n">
        <f aca="false">2*(D102+1)</f>
        <v>14</v>
      </c>
      <c r="M102" s="29" t="n">
        <f aca="false">D102*$E$4</f>
        <v>42</v>
      </c>
      <c r="N102" s="29" t="n">
        <f aca="false">2*D102*$E$4</f>
        <v>84</v>
      </c>
      <c r="O102" s="29" t="n">
        <f aca="false">(D102+1)*$E$4</f>
        <v>49</v>
      </c>
      <c r="P102" s="29" t="n">
        <f aca="false">2*(D102+1)*($E$4-1)</f>
        <v>84</v>
      </c>
    </row>
    <row r="103" customFormat="false" ht="15" hidden="false" customHeight="false" outlineLevel="0" collapsed="false">
      <c r="A103" s="11" t="s">
        <v>169</v>
      </c>
      <c r="B103" s="21" t="n">
        <f aca="false">Parametros!$B$22</f>
        <v>415</v>
      </c>
      <c r="C103" s="21" t="n">
        <f aca="false">Parametros!$B$28</f>
        <v>595</v>
      </c>
      <c r="D103" s="16" t="n">
        <v>7</v>
      </c>
      <c r="E103" s="34" t="n">
        <f aca="false">2*Parametros!$C$6+(D103-1)*Parametros!$C$7+D103*(C103-Parametros!$C$13)</f>
        <v>4327.62</v>
      </c>
      <c r="F103" s="34" t="n">
        <f aca="false">B103+2*(Parametros!$C$8-Parametros!$C$5)</f>
        <v>500.26</v>
      </c>
      <c r="G103" s="35" t="n">
        <f aca="false">E103*F103/1000000</f>
        <v>2.1649351812</v>
      </c>
      <c r="H103" s="36" t="n">
        <f aca="false">E103/1000</f>
        <v>4.32762</v>
      </c>
      <c r="I103" s="29" t="n">
        <f aca="false">4*$E$4</f>
        <v>28</v>
      </c>
      <c r="J103" s="29" t="n">
        <f aca="false">2*(D103-1)*$E$4</f>
        <v>84</v>
      </c>
      <c r="K103" s="29" t="n">
        <v>0</v>
      </c>
      <c r="L103" s="29" t="n">
        <f aca="false">2*(D103+1)</f>
        <v>16</v>
      </c>
      <c r="M103" s="29" t="n">
        <f aca="false">D103*$E$4</f>
        <v>49</v>
      </c>
      <c r="N103" s="29" t="n">
        <f aca="false">2*D103*$E$4</f>
        <v>98</v>
      </c>
      <c r="O103" s="29" t="n">
        <f aca="false">(D103+1)*$E$4</f>
        <v>56</v>
      </c>
      <c r="P103" s="29" t="n">
        <f aca="false">2*(D103+1)*($E$4-1)</f>
        <v>96</v>
      </c>
    </row>
    <row r="104" customFormat="false" ht="15" hidden="false" customHeight="false" outlineLevel="0" collapsed="false">
      <c r="A104" s="11" t="s">
        <v>169</v>
      </c>
      <c r="B104" s="21" t="n">
        <f aca="false">Parametros!$B$22</f>
        <v>415</v>
      </c>
      <c r="C104" s="21" t="n">
        <f aca="false">Parametros!$B$28</f>
        <v>595</v>
      </c>
      <c r="D104" s="16" t="n">
        <v>8</v>
      </c>
      <c r="E104" s="34" t="n">
        <f aca="false">2*Parametros!$C$6+(D104-1)*Parametros!$C$7+D104*(C104-Parametros!$C$13)</f>
        <v>4942.72</v>
      </c>
      <c r="F104" s="34" t="n">
        <f aca="false">B104+2*(Parametros!$C$8-Parametros!$C$5)</f>
        <v>500.26</v>
      </c>
      <c r="G104" s="35" t="n">
        <f aca="false">E104*F104/1000000</f>
        <v>2.4726451072</v>
      </c>
      <c r="H104" s="36" t="n">
        <f aca="false">E104/1000</f>
        <v>4.94272</v>
      </c>
      <c r="I104" s="29" t="n">
        <f aca="false">4*$E$4</f>
        <v>28</v>
      </c>
      <c r="J104" s="29" t="n">
        <f aca="false">2*(D104-1)*$E$4</f>
        <v>98</v>
      </c>
      <c r="K104" s="29" t="n">
        <v>0</v>
      </c>
      <c r="L104" s="29" t="n">
        <f aca="false">2*(D104+1)</f>
        <v>18</v>
      </c>
      <c r="M104" s="29" t="n">
        <f aca="false">D104*$E$4</f>
        <v>56</v>
      </c>
      <c r="N104" s="29" t="n">
        <f aca="false">2*D104*$E$4</f>
        <v>112</v>
      </c>
      <c r="O104" s="29" t="n">
        <f aca="false">(D104+1)*$E$4</f>
        <v>63</v>
      </c>
      <c r="P104" s="29" t="n">
        <f aca="false">2*(D104+1)*($E$4-1)</f>
        <v>108</v>
      </c>
    </row>
    <row r="105" customFormat="false" ht="15" hidden="false" customHeight="false" outlineLevel="0" collapsed="false">
      <c r="A105" s="11" t="s">
        <v>169</v>
      </c>
      <c r="B105" s="21" t="n">
        <f aca="false">Parametros!$B$22</f>
        <v>415</v>
      </c>
      <c r="C105" s="21" t="n">
        <f aca="false">Parametros!$B$28</f>
        <v>595</v>
      </c>
      <c r="D105" s="16" t="n">
        <v>9</v>
      </c>
      <c r="E105" s="34" t="n">
        <f aca="false">2*Parametros!$C$6+(D105-1)*Parametros!$C$7+D105*(C105-Parametros!$C$13)</f>
        <v>5557.82</v>
      </c>
      <c r="F105" s="34" t="n">
        <f aca="false">B105+2*(Parametros!$C$8-Parametros!$C$5)</f>
        <v>500.26</v>
      </c>
      <c r="G105" s="35" t="n">
        <f aca="false">E105*F105/1000000</f>
        <v>2.7803550332</v>
      </c>
      <c r="H105" s="36" t="n">
        <f aca="false">E105/1000</f>
        <v>5.55782</v>
      </c>
      <c r="I105" s="29" t="n">
        <f aca="false">4*$E$4</f>
        <v>28</v>
      </c>
      <c r="J105" s="29" t="n">
        <f aca="false">2*(D105-1)*$E$4</f>
        <v>112</v>
      </c>
      <c r="K105" s="29" t="n">
        <v>0</v>
      </c>
      <c r="L105" s="29" t="n">
        <f aca="false">2*(D105+1)</f>
        <v>20</v>
      </c>
      <c r="M105" s="29" t="n">
        <f aca="false">D105*$E$4</f>
        <v>63</v>
      </c>
      <c r="N105" s="29" t="n">
        <f aca="false">2*D105*$E$4</f>
        <v>126</v>
      </c>
      <c r="O105" s="29" t="n">
        <f aca="false">(D105+1)*$E$4</f>
        <v>70</v>
      </c>
      <c r="P105" s="29" t="n">
        <f aca="false">2*(D105+1)*($E$4-1)</f>
        <v>120</v>
      </c>
    </row>
    <row r="106" customFormat="false" ht="15" hidden="false" customHeight="false" outlineLevel="0" collapsed="false">
      <c r="A106" s="11" t="s">
        <v>169</v>
      </c>
      <c r="B106" s="21" t="n">
        <f aca="false">Parametros!$B$22</f>
        <v>415</v>
      </c>
      <c r="C106" s="21" t="n">
        <f aca="false">Parametros!$B$28</f>
        <v>595</v>
      </c>
      <c r="D106" s="16" t="n">
        <v>10</v>
      </c>
      <c r="E106" s="34" t="n">
        <f aca="false">2*Parametros!$C$6+(D106-1)*Parametros!$C$7+D106*(C106-Parametros!$C$13)</f>
        <v>6172.92</v>
      </c>
      <c r="F106" s="34" t="n">
        <f aca="false">B106+2*(Parametros!$C$8-Parametros!$C$5)</f>
        <v>500.26</v>
      </c>
      <c r="G106" s="35" t="n">
        <f aca="false">E106*F106/1000000</f>
        <v>3.0880649592</v>
      </c>
      <c r="H106" s="36" t="n">
        <f aca="false">E106/1000</f>
        <v>6.17292</v>
      </c>
      <c r="I106" s="29" t="n">
        <f aca="false">4*$E$4</f>
        <v>28</v>
      </c>
      <c r="J106" s="29" t="n">
        <f aca="false">2*(D106-1)*$E$4</f>
        <v>126</v>
      </c>
      <c r="K106" s="29" t="n">
        <v>0</v>
      </c>
      <c r="L106" s="29" t="n">
        <f aca="false">2*(D106+1)</f>
        <v>22</v>
      </c>
      <c r="M106" s="29" t="n">
        <f aca="false">D106*$E$4</f>
        <v>70</v>
      </c>
      <c r="N106" s="29" t="n">
        <f aca="false">2*D106*$E$4</f>
        <v>140</v>
      </c>
      <c r="O106" s="29" t="n">
        <f aca="false">(D106+1)*$E$4</f>
        <v>77</v>
      </c>
      <c r="P106" s="29" t="n">
        <f aca="false">2*(D106+1)*($E$4-1)</f>
        <v>132</v>
      </c>
    </row>
    <row r="107" customFormat="false" ht="15" hidden="false" customHeight="false" outlineLevel="0" collapsed="false">
      <c r="A107" s="11" t="s">
        <v>169</v>
      </c>
      <c r="B107" s="21" t="n">
        <f aca="false">Parametros!$B$22</f>
        <v>415</v>
      </c>
      <c r="C107" s="21" t="n">
        <f aca="false">Parametros!$B$28</f>
        <v>595</v>
      </c>
      <c r="D107" s="16" t="n">
        <v>11</v>
      </c>
      <c r="E107" s="34" t="n">
        <f aca="false">2*Parametros!$C$6+(D107-1)*Parametros!$C$7+D107*(C107-Parametros!$C$13)</f>
        <v>6788.02</v>
      </c>
      <c r="F107" s="34" t="n">
        <f aca="false">B107+2*(Parametros!$C$8-Parametros!$C$5)</f>
        <v>500.26</v>
      </c>
      <c r="G107" s="35" t="n">
        <f aca="false">E107*F107/1000000</f>
        <v>3.3957748852</v>
      </c>
      <c r="H107" s="36" t="n">
        <f aca="false">E107/1000</f>
        <v>6.78802</v>
      </c>
      <c r="I107" s="29" t="n">
        <f aca="false">4*$E$4</f>
        <v>28</v>
      </c>
      <c r="J107" s="29" t="n">
        <f aca="false">2*(D107-1)*$E$4</f>
        <v>140</v>
      </c>
      <c r="K107" s="29" t="n">
        <v>0</v>
      </c>
      <c r="L107" s="29" t="n">
        <f aca="false">2*(D107+1)</f>
        <v>24</v>
      </c>
      <c r="M107" s="29" t="n">
        <f aca="false">D107*$E$4</f>
        <v>77</v>
      </c>
      <c r="N107" s="29" t="n">
        <f aca="false">2*D107*$E$4</f>
        <v>154</v>
      </c>
      <c r="O107" s="29" t="n">
        <f aca="false">(D107+1)*$E$4</f>
        <v>84</v>
      </c>
      <c r="P107" s="29" t="n">
        <f aca="false">2*(D107+1)*($E$4-1)</f>
        <v>144</v>
      </c>
    </row>
    <row r="108" customFormat="false" ht="15" hidden="false" customHeight="false" outlineLevel="0" collapsed="false">
      <c r="A108" s="11" t="s">
        <v>169</v>
      </c>
      <c r="B108" s="21" t="n">
        <f aca="false">Parametros!$B$22</f>
        <v>415</v>
      </c>
      <c r="C108" s="21" t="n">
        <f aca="false">Parametros!$B$28</f>
        <v>595</v>
      </c>
      <c r="D108" s="16" t="n">
        <v>12</v>
      </c>
      <c r="E108" s="34" t="n">
        <f aca="false">2*Parametros!$C$6+(D108-1)*Parametros!$C$7+D108*(C108-Parametros!$C$13)</f>
        <v>7403.12</v>
      </c>
      <c r="F108" s="34" t="n">
        <f aca="false">B108+2*(Parametros!$C$8-Parametros!$C$5)</f>
        <v>500.26</v>
      </c>
      <c r="G108" s="35" t="n">
        <f aca="false">E108*F108/1000000</f>
        <v>3.7034848112</v>
      </c>
      <c r="H108" s="36" t="n">
        <f aca="false">E108/1000</f>
        <v>7.40312</v>
      </c>
      <c r="I108" s="29" t="n">
        <f aca="false">4*$E$4</f>
        <v>28</v>
      </c>
      <c r="J108" s="29" t="n">
        <f aca="false">2*(D108-1)*$E$4</f>
        <v>154</v>
      </c>
      <c r="K108" s="29" t="n">
        <v>0</v>
      </c>
      <c r="L108" s="29" t="n">
        <f aca="false">2*(D108+1)</f>
        <v>26</v>
      </c>
      <c r="M108" s="29" t="n">
        <f aca="false">D108*$E$4</f>
        <v>84</v>
      </c>
      <c r="N108" s="29" t="n">
        <f aca="false">2*D108*$E$4</f>
        <v>168</v>
      </c>
      <c r="O108" s="29" t="n">
        <f aca="false">(D108+1)*$E$4</f>
        <v>91</v>
      </c>
      <c r="P108" s="29" t="n">
        <f aca="false">2*(D108+1)*($E$4-1)</f>
        <v>156</v>
      </c>
    </row>
    <row r="109" customFormat="false" ht="15" hidden="false" customHeight="false" outlineLevel="0" collapsed="false">
      <c r="A109" s="11" t="s">
        <v>169</v>
      </c>
      <c r="B109" s="21" t="n">
        <f aca="false">Parametros!$B$22</f>
        <v>415</v>
      </c>
      <c r="C109" s="21" t="n">
        <f aca="false">Parametros!$B$28</f>
        <v>595</v>
      </c>
      <c r="D109" s="16" t="n">
        <v>13</v>
      </c>
      <c r="E109" s="34" t="n">
        <f aca="false">2*Parametros!$C$6+(D109-1)*Parametros!$C$7+D109*(C109-Parametros!$C$13)</f>
        <v>8018.22</v>
      </c>
      <c r="F109" s="34" t="n">
        <f aca="false">B109+2*(Parametros!$C$8-Parametros!$C$5)</f>
        <v>500.26</v>
      </c>
      <c r="G109" s="35" t="n">
        <f aca="false">E109*F109/1000000</f>
        <v>4.0111947372</v>
      </c>
      <c r="H109" s="36" t="n">
        <f aca="false">E109/1000</f>
        <v>8.01822</v>
      </c>
      <c r="I109" s="29" t="n">
        <f aca="false">4*$E$4</f>
        <v>28</v>
      </c>
      <c r="J109" s="29" t="n">
        <f aca="false">2*(D109-1)*$E$4</f>
        <v>168</v>
      </c>
      <c r="K109" s="29" t="n">
        <v>0</v>
      </c>
      <c r="L109" s="29" t="n">
        <f aca="false">2*(D109+1)</f>
        <v>28</v>
      </c>
      <c r="M109" s="29" t="n">
        <f aca="false">D109*$E$4</f>
        <v>91</v>
      </c>
      <c r="N109" s="29" t="n">
        <f aca="false">2*D109*$E$4</f>
        <v>182</v>
      </c>
      <c r="O109" s="29" t="n">
        <f aca="false">(D109+1)*$E$4</f>
        <v>98</v>
      </c>
      <c r="P109" s="29" t="n">
        <f aca="false">2*(D109+1)*($E$4-1)</f>
        <v>168</v>
      </c>
    </row>
    <row r="110" customFormat="false" ht="15" hidden="false" customHeight="false" outlineLevel="0" collapsed="false">
      <c r="A110" s="11" t="s">
        <v>169</v>
      </c>
      <c r="B110" s="21" t="n">
        <f aca="false">Parametros!$B$22</f>
        <v>415</v>
      </c>
      <c r="C110" s="21" t="n">
        <f aca="false">Parametros!$B$28</f>
        <v>595</v>
      </c>
      <c r="D110" s="16" t="n">
        <v>14</v>
      </c>
      <c r="E110" s="34" t="n">
        <f aca="false">2*Parametros!$C$6+(D110-1)*Parametros!$C$7+D110*(C110-Parametros!$C$13)</f>
        <v>8633.32</v>
      </c>
      <c r="F110" s="34" t="n">
        <f aca="false">B110+2*(Parametros!$C$8-Parametros!$C$5)</f>
        <v>500.26</v>
      </c>
      <c r="G110" s="35" t="n">
        <f aca="false">E110*F110/1000000</f>
        <v>4.3189046632</v>
      </c>
      <c r="H110" s="36" t="n">
        <f aca="false">E110/1000</f>
        <v>8.63332</v>
      </c>
      <c r="I110" s="29" t="n">
        <f aca="false">4*$E$4</f>
        <v>28</v>
      </c>
      <c r="J110" s="29" t="n">
        <f aca="false">2*(D110-1)*$E$4</f>
        <v>182</v>
      </c>
      <c r="K110" s="29" t="n">
        <v>0</v>
      </c>
      <c r="L110" s="29" t="n">
        <f aca="false">2*(D110+1)</f>
        <v>30</v>
      </c>
      <c r="M110" s="29" t="n">
        <f aca="false">D110*$E$4</f>
        <v>98</v>
      </c>
      <c r="N110" s="29" t="n">
        <f aca="false">2*D110*$E$4</f>
        <v>196</v>
      </c>
      <c r="O110" s="29" t="n">
        <f aca="false">(D110+1)*$E$4</f>
        <v>105</v>
      </c>
      <c r="P110" s="29" t="n">
        <f aca="false">2*(D110+1)*($E$4-1)</f>
        <v>180</v>
      </c>
    </row>
    <row r="111" customFormat="false" ht="15" hidden="false" customHeight="false" outlineLevel="0" collapsed="false">
      <c r="A111" s="11" t="s">
        <v>169</v>
      </c>
      <c r="B111" s="21" t="n">
        <f aca="false">Parametros!$B$22</f>
        <v>415</v>
      </c>
      <c r="C111" s="21" t="n">
        <f aca="false">Parametros!$B$28</f>
        <v>595</v>
      </c>
      <c r="D111" s="16" t="n">
        <v>15</v>
      </c>
      <c r="E111" s="34" t="n">
        <f aca="false">2*Parametros!$C$6+(D111-1)*Parametros!$C$7+D111*(C111-Parametros!$C$13)</f>
        <v>9248.42</v>
      </c>
      <c r="F111" s="34" t="n">
        <f aca="false">B111+2*(Parametros!$C$8-Parametros!$C$5)</f>
        <v>500.26</v>
      </c>
      <c r="G111" s="35" t="n">
        <f aca="false">E111*F111/1000000</f>
        <v>4.6266145892</v>
      </c>
      <c r="H111" s="36" t="n">
        <f aca="false">E111/1000</f>
        <v>9.24842</v>
      </c>
      <c r="I111" s="29" t="n">
        <f aca="false">4*$E$4</f>
        <v>28</v>
      </c>
      <c r="J111" s="29" t="n">
        <f aca="false">2*(D111-1)*$E$4</f>
        <v>196</v>
      </c>
      <c r="K111" s="29" t="n">
        <v>0</v>
      </c>
      <c r="L111" s="29" t="n">
        <f aca="false">2*(D111+1)</f>
        <v>32</v>
      </c>
      <c r="M111" s="29" t="n">
        <f aca="false">D111*$E$4</f>
        <v>105</v>
      </c>
      <c r="N111" s="29" t="n">
        <f aca="false">2*D111*$E$4</f>
        <v>210</v>
      </c>
      <c r="O111" s="29" t="n">
        <f aca="false">(D111+1)*$E$4</f>
        <v>112</v>
      </c>
      <c r="P111" s="29" t="n">
        <f aca="false">2*(D111+1)*($E$4-1)</f>
        <v>192</v>
      </c>
    </row>
    <row r="112" customFormat="false" ht="15" hidden="false" customHeight="false" outlineLevel="0" collapsed="false">
      <c r="A112" s="11" t="s">
        <v>169</v>
      </c>
      <c r="B112" s="21" t="n">
        <f aca="false">Parametros!$B$22</f>
        <v>415</v>
      </c>
      <c r="C112" s="21" t="n">
        <f aca="false">Parametros!$B$28</f>
        <v>595</v>
      </c>
      <c r="D112" s="16" t="n">
        <v>16</v>
      </c>
      <c r="E112" s="34" t="n">
        <f aca="false">2*Parametros!$C$6+(D112-1)*Parametros!$C$7+D112*(C112-Parametros!$C$13)</f>
        <v>9863.52</v>
      </c>
      <c r="F112" s="34" t="n">
        <f aca="false">B112+2*(Parametros!$C$8-Parametros!$C$5)</f>
        <v>500.26</v>
      </c>
      <c r="G112" s="35" t="n">
        <f aca="false">E112*F112/1000000</f>
        <v>4.9343245152</v>
      </c>
      <c r="H112" s="36" t="n">
        <f aca="false">E112/1000</f>
        <v>9.86352</v>
      </c>
      <c r="I112" s="29" t="n">
        <f aca="false">4*$E$4</f>
        <v>28</v>
      </c>
      <c r="J112" s="29" t="n">
        <f aca="false">2*(D112-1)*$E$4</f>
        <v>210</v>
      </c>
      <c r="K112" s="29" t="n">
        <v>0</v>
      </c>
      <c r="L112" s="29" t="n">
        <f aca="false">2*(D112+1)</f>
        <v>34</v>
      </c>
      <c r="M112" s="29" t="n">
        <f aca="false">D112*$E$4</f>
        <v>112</v>
      </c>
      <c r="N112" s="29" t="n">
        <f aca="false">2*D112*$E$4</f>
        <v>224</v>
      </c>
      <c r="O112" s="29" t="n">
        <f aca="false">(D112+1)*$E$4</f>
        <v>119</v>
      </c>
      <c r="P112" s="29" t="n">
        <f aca="false">2*(D112+1)*($E$4-1)</f>
        <v>204</v>
      </c>
    </row>
    <row r="113" customFormat="false" ht="15" hidden="false" customHeight="false" outlineLevel="0" collapsed="false">
      <c r="A113" s="11" t="s">
        <v>169</v>
      </c>
      <c r="B113" s="21" t="n">
        <f aca="false">Parametros!$B$22</f>
        <v>415</v>
      </c>
      <c r="C113" s="21" t="n">
        <f aca="false">Parametros!$B$28</f>
        <v>595</v>
      </c>
      <c r="D113" s="16" t="n">
        <v>17</v>
      </c>
      <c r="E113" s="34" t="n">
        <f aca="false">2*Parametros!$C$6+(D113-1)*Parametros!$C$7+D113*(C113-Parametros!$C$13)</f>
        <v>10478.62</v>
      </c>
      <c r="F113" s="34" t="n">
        <f aca="false">B113+2*(Parametros!$C$8-Parametros!$C$5)</f>
        <v>500.26</v>
      </c>
      <c r="G113" s="35" t="n">
        <f aca="false">E113*F113/1000000</f>
        <v>5.2420344412</v>
      </c>
      <c r="H113" s="36" t="n">
        <f aca="false">E113/1000</f>
        <v>10.47862</v>
      </c>
      <c r="I113" s="29" t="n">
        <f aca="false">4*$E$4</f>
        <v>28</v>
      </c>
      <c r="J113" s="29" t="n">
        <f aca="false">2*(D113-1)*$E$4</f>
        <v>224</v>
      </c>
      <c r="K113" s="29" t="n">
        <v>0</v>
      </c>
      <c r="L113" s="29" t="n">
        <f aca="false">2*(D113+1)</f>
        <v>36</v>
      </c>
      <c r="M113" s="29" t="n">
        <f aca="false">D113*$E$4</f>
        <v>119</v>
      </c>
      <c r="N113" s="29" t="n">
        <f aca="false">2*D113*$E$4</f>
        <v>238</v>
      </c>
      <c r="O113" s="29" t="n">
        <f aca="false">(D113+1)*$E$4</f>
        <v>126</v>
      </c>
      <c r="P113" s="29" t="n">
        <f aca="false">2*(D113+1)*($E$4-1)</f>
        <v>216</v>
      </c>
    </row>
    <row r="114" customFormat="false" ht="15" hidden="false" customHeight="false" outlineLevel="0" collapsed="false">
      <c r="A114" s="11" t="s">
        <v>169</v>
      </c>
      <c r="B114" s="21" t="n">
        <f aca="false">Parametros!$B$22</f>
        <v>415</v>
      </c>
      <c r="C114" s="21" t="n">
        <f aca="false">Parametros!$B$28</f>
        <v>595</v>
      </c>
      <c r="D114" s="16" t="n">
        <v>18</v>
      </c>
      <c r="E114" s="34" t="n">
        <f aca="false">2*Parametros!$C$6+(D114-1)*Parametros!$C$7+D114*(C114-Parametros!$C$13)</f>
        <v>11093.72</v>
      </c>
      <c r="F114" s="34" t="n">
        <f aca="false">B114+2*(Parametros!$C$8-Parametros!$C$5)</f>
        <v>500.26</v>
      </c>
      <c r="G114" s="35" t="n">
        <f aca="false">E114*F114/1000000</f>
        <v>5.5497443672</v>
      </c>
      <c r="H114" s="36" t="n">
        <f aca="false">E114/1000</f>
        <v>11.09372</v>
      </c>
      <c r="I114" s="29" t="n">
        <f aca="false">4*$E$4</f>
        <v>28</v>
      </c>
      <c r="J114" s="29" t="n">
        <f aca="false">2*(D114-1)*$E$4</f>
        <v>238</v>
      </c>
      <c r="K114" s="29" t="n">
        <v>0</v>
      </c>
      <c r="L114" s="29" t="n">
        <f aca="false">2*(D114+1)</f>
        <v>38</v>
      </c>
      <c r="M114" s="29" t="n">
        <f aca="false">D114*$E$4</f>
        <v>126</v>
      </c>
      <c r="N114" s="29" t="n">
        <f aca="false">2*D114*$E$4</f>
        <v>252</v>
      </c>
      <c r="O114" s="29" t="n">
        <f aca="false">(D114+1)*$E$4</f>
        <v>133</v>
      </c>
      <c r="P114" s="29" t="n">
        <f aca="false">2*(D114+1)*($E$4-1)</f>
        <v>228</v>
      </c>
    </row>
    <row r="115" customFormat="false" ht="15" hidden="false" customHeight="false" outlineLevel="0" collapsed="false">
      <c r="A115" s="11" t="s">
        <v>170</v>
      </c>
      <c r="B115" s="21" t="n">
        <f aca="false">Parametros!$B$22</f>
        <v>415</v>
      </c>
      <c r="C115" s="21" t="n">
        <f aca="false">Parametros!$B$29</f>
        <v>717</v>
      </c>
      <c r="D115" s="16" t="n">
        <v>1</v>
      </c>
      <c r="E115" s="34" t="n">
        <f aca="false">2*Parametros!$C$6+(D115-1)*Parametros!$C$7+D115*(C115-Parametros!$C$13)</f>
        <v>759.02</v>
      </c>
      <c r="F115" s="34" t="n">
        <f aca="false">B115+2*(Parametros!$C$8-Parametros!$C$5)</f>
        <v>500.26</v>
      </c>
      <c r="G115" s="35" t="n">
        <f aca="false">E115*F115/1000000</f>
        <v>0.3797073452</v>
      </c>
      <c r="H115" s="36" t="n">
        <f aca="false">E115/1000</f>
        <v>0.75902</v>
      </c>
      <c r="I115" s="29" t="n">
        <f aca="false">4*$E$4</f>
        <v>28</v>
      </c>
      <c r="J115" s="29" t="n">
        <f aca="false">2*(D115-1)*$E$4</f>
        <v>0</v>
      </c>
      <c r="K115" s="29" t="n">
        <v>0</v>
      </c>
      <c r="L115" s="29" t="n">
        <f aca="false">2*(D115+1)</f>
        <v>4</v>
      </c>
      <c r="M115" s="29" t="n">
        <f aca="false">D115*$E$4</f>
        <v>7</v>
      </c>
      <c r="N115" s="29" t="n">
        <f aca="false">2*D115*$E$4</f>
        <v>14</v>
      </c>
      <c r="O115" s="29" t="n">
        <f aca="false">(D115+1)*$E$4</f>
        <v>14</v>
      </c>
      <c r="P115" s="29" t="n">
        <f aca="false">2*(D115+1)*($E$4-1)</f>
        <v>24</v>
      </c>
    </row>
    <row r="116" customFormat="false" ht="15" hidden="false" customHeight="false" outlineLevel="0" collapsed="false">
      <c r="A116" s="11" t="s">
        <v>170</v>
      </c>
      <c r="B116" s="21" t="n">
        <f aca="false">Parametros!$B$22</f>
        <v>415</v>
      </c>
      <c r="C116" s="21" t="n">
        <f aca="false">Parametros!$B$29</f>
        <v>717</v>
      </c>
      <c r="D116" s="16" t="n">
        <v>2</v>
      </c>
      <c r="E116" s="34" t="n">
        <f aca="false">2*Parametros!$C$6+(D116-1)*Parametros!$C$7+D116*(C116-Parametros!$C$13)</f>
        <v>1496.12</v>
      </c>
      <c r="F116" s="34" t="n">
        <f aca="false">B116+2*(Parametros!$C$8-Parametros!$C$5)</f>
        <v>500.26</v>
      </c>
      <c r="G116" s="35" t="n">
        <f aca="false">E116*F116/1000000</f>
        <v>0.7484489912</v>
      </c>
      <c r="H116" s="36" t="n">
        <f aca="false">E116/1000</f>
        <v>1.49612</v>
      </c>
      <c r="I116" s="29" t="n">
        <f aca="false">4*$E$4</f>
        <v>28</v>
      </c>
      <c r="J116" s="29" t="n">
        <f aca="false">2*(D116-1)*$E$4</f>
        <v>14</v>
      </c>
      <c r="K116" s="29" t="n">
        <v>0</v>
      </c>
      <c r="L116" s="29" t="n">
        <f aca="false">2*(D116+1)</f>
        <v>6</v>
      </c>
      <c r="M116" s="29" t="n">
        <f aca="false">D116*$E$4</f>
        <v>14</v>
      </c>
      <c r="N116" s="29" t="n">
        <f aca="false">2*D116*$E$4</f>
        <v>28</v>
      </c>
      <c r="O116" s="29" t="n">
        <f aca="false">(D116+1)*$E$4</f>
        <v>21</v>
      </c>
      <c r="P116" s="29" t="n">
        <f aca="false">2*(D116+1)*($E$4-1)</f>
        <v>36</v>
      </c>
    </row>
    <row r="117" customFormat="false" ht="15" hidden="false" customHeight="false" outlineLevel="0" collapsed="false">
      <c r="A117" s="11" t="s">
        <v>170</v>
      </c>
      <c r="B117" s="21" t="n">
        <f aca="false">Parametros!$B$22</f>
        <v>415</v>
      </c>
      <c r="C117" s="21" t="n">
        <f aca="false">Parametros!$B$29</f>
        <v>717</v>
      </c>
      <c r="D117" s="16" t="n">
        <v>3</v>
      </c>
      <c r="E117" s="34" t="n">
        <f aca="false">2*Parametros!$C$6+(D117-1)*Parametros!$C$7+D117*(C117-Parametros!$C$13)</f>
        <v>2233.22</v>
      </c>
      <c r="F117" s="34" t="n">
        <f aca="false">B117+2*(Parametros!$C$8-Parametros!$C$5)</f>
        <v>500.26</v>
      </c>
      <c r="G117" s="35" t="n">
        <f aca="false">E117*F117/1000000</f>
        <v>1.1171906372</v>
      </c>
      <c r="H117" s="36" t="n">
        <f aca="false">E117/1000</f>
        <v>2.23322</v>
      </c>
      <c r="I117" s="29" t="n">
        <f aca="false">4*$E$4</f>
        <v>28</v>
      </c>
      <c r="J117" s="29" t="n">
        <f aca="false">2*(D117-1)*$E$4</f>
        <v>28</v>
      </c>
      <c r="K117" s="29" t="n">
        <v>0</v>
      </c>
      <c r="L117" s="29" t="n">
        <f aca="false">2*(D117+1)</f>
        <v>8</v>
      </c>
      <c r="M117" s="29" t="n">
        <f aca="false">D117*$E$4</f>
        <v>21</v>
      </c>
      <c r="N117" s="29" t="n">
        <f aca="false">2*D117*$E$4</f>
        <v>42</v>
      </c>
      <c r="O117" s="29" t="n">
        <f aca="false">(D117+1)*$E$4</f>
        <v>28</v>
      </c>
      <c r="P117" s="29" t="n">
        <f aca="false">2*(D117+1)*($E$4-1)</f>
        <v>48</v>
      </c>
    </row>
    <row r="118" customFormat="false" ht="15" hidden="false" customHeight="false" outlineLevel="0" collapsed="false">
      <c r="A118" s="11" t="s">
        <v>170</v>
      </c>
      <c r="B118" s="21" t="n">
        <f aca="false">Parametros!$B$22</f>
        <v>415</v>
      </c>
      <c r="C118" s="21" t="n">
        <f aca="false">Parametros!$B$29</f>
        <v>717</v>
      </c>
      <c r="D118" s="16" t="n">
        <v>4</v>
      </c>
      <c r="E118" s="34" t="n">
        <f aca="false">2*Parametros!$C$6+(D118-1)*Parametros!$C$7+D118*(C118-Parametros!$C$13)</f>
        <v>2970.32</v>
      </c>
      <c r="F118" s="34" t="n">
        <f aca="false">B118+2*(Parametros!$C$8-Parametros!$C$5)</f>
        <v>500.26</v>
      </c>
      <c r="G118" s="35" t="n">
        <f aca="false">E118*F118/1000000</f>
        <v>1.4859322832</v>
      </c>
      <c r="H118" s="36" t="n">
        <f aca="false">E118/1000</f>
        <v>2.97032</v>
      </c>
      <c r="I118" s="29" t="n">
        <f aca="false">4*$E$4</f>
        <v>28</v>
      </c>
      <c r="J118" s="29" t="n">
        <f aca="false">2*(D118-1)*$E$4</f>
        <v>42</v>
      </c>
      <c r="K118" s="29" t="n">
        <v>0</v>
      </c>
      <c r="L118" s="29" t="n">
        <f aca="false">2*(D118+1)</f>
        <v>10</v>
      </c>
      <c r="M118" s="29" t="n">
        <f aca="false">D118*$E$4</f>
        <v>28</v>
      </c>
      <c r="N118" s="29" t="n">
        <f aca="false">2*D118*$E$4</f>
        <v>56</v>
      </c>
      <c r="O118" s="29" t="n">
        <f aca="false">(D118+1)*$E$4</f>
        <v>35</v>
      </c>
      <c r="P118" s="29" t="n">
        <f aca="false">2*(D118+1)*($E$4-1)</f>
        <v>60</v>
      </c>
    </row>
    <row r="119" customFormat="false" ht="15" hidden="false" customHeight="false" outlineLevel="0" collapsed="false">
      <c r="A119" s="11" t="s">
        <v>170</v>
      </c>
      <c r="B119" s="21" t="n">
        <f aca="false">Parametros!$B$22</f>
        <v>415</v>
      </c>
      <c r="C119" s="21" t="n">
        <f aca="false">Parametros!$B$29</f>
        <v>717</v>
      </c>
      <c r="D119" s="16" t="n">
        <v>5</v>
      </c>
      <c r="E119" s="34" t="n">
        <f aca="false">2*Parametros!$C$6+(D119-1)*Parametros!$C$7+D119*(C119-Parametros!$C$13)</f>
        <v>3707.42</v>
      </c>
      <c r="F119" s="34" t="n">
        <f aca="false">B119+2*(Parametros!$C$8-Parametros!$C$5)</f>
        <v>500.26</v>
      </c>
      <c r="G119" s="35" t="n">
        <f aca="false">E119*F119/1000000</f>
        <v>1.8546739292</v>
      </c>
      <c r="H119" s="36" t="n">
        <f aca="false">E119/1000</f>
        <v>3.70742</v>
      </c>
      <c r="I119" s="29" t="n">
        <f aca="false">4*$E$4</f>
        <v>28</v>
      </c>
      <c r="J119" s="29" t="n">
        <f aca="false">2*(D119-1)*$E$4</f>
        <v>56</v>
      </c>
      <c r="K119" s="29" t="n">
        <v>0</v>
      </c>
      <c r="L119" s="29" t="n">
        <f aca="false">2*(D119+1)</f>
        <v>12</v>
      </c>
      <c r="M119" s="29" t="n">
        <f aca="false">D119*$E$4</f>
        <v>35</v>
      </c>
      <c r="N119" s="29" t="n">
        <f aca="false">2*D119*$E$4</f>
        <v>70</v>
      </c>
      <c r="O119" s="29" t="n">
        <f aca="false">(D119+1)*$E$4</f>
        <v>42</v>
      </c>
      <c r="P119" s="29" t="n">
        <f aca="false">2*(D119+1)*($E$4-1)</f>
        <v>72</v>
      </c>
    </row>
    <row r="120" customFormat="false" ht="15" hidden="false" customHeight="false" outlineLevel="0" collapsed="false">
      <c r="A120" s="11" t="s">
        <v>170</v>
      </c>
      <c r="B120" s="21" t="n">
        <f aca="false">Parametros!$B$22</f>
        <v>415</v>
      </c>
      <c r="C120" s="21" t="n">
        <f aca="false">Parametros!$B$29</f>
        <v>717</v>
      </c>
      <c r="D120" s="16" t="n">
        <v>6</v>
      </c>
      <c r="E120" s="34" t="n">
        <f aca="false">2*Parametros!$C$6+(D120-1)*Parametros!$C$7+D120*(C120-Parametros!$C$13)</f>
        <v>4444.52</v>
      </c>
      <c r="F120" s="34" t="n">
        <f aca="false">B120+2*(Parametros!$C$8-Parametros!$C$5)</f>
        <v>500.26</v>
      </c>
      <c r="G120" s="35" t="n">
        <f aca="false">E120*F120/1000000</f>
        <v>2.2234155752</v>
      </c>
      <c r="H120" s="36" t="n">
        <f aca="false">E120/1000</f>
        <v>4.44452</v>
      </c>
      <c r="I120" s="29" t="n">
        <f aca="false">4*$E$4</f>
        <v>28</v>
      </c>
      <c r="J120" s="29" t="n">
        <f aca="false">2*(D120-1)*$E$4</f>
        <v>70</v>
      </c>
      <c r="K120" s="29" t="n">
        <v>0</v>
      </c>
      <c r="L120" s="29" t="n">
        <f aca="false">2*(D120+1)</f>
        <v>14</v>
      </c>
      <c r="M120" s="29" t="n">
        <f aca="false">D120*$E$4</f>
        <v>42</v>
      </c>
      <c r="N120" s="29" t="n">
        <f aca="false">2*D120*$E$4</f>
        <v>84</v>
      </c>
      <c r="O120" s="29" t="n">
        <f aca="false">(D120+1)*$E$4</f>
        <v>49</v>
      </c>
      <c r="P120" s="29" t="n">
        <f aca="false">2*(D120+1)*($E$4-1)</f>
        <v>84</v>
      </c>
    </row>
    <row r="121" customFormat="false" ht="15" hidden="false" customHeight="false" outlineLevel="0" collapsed="false">
      <c r="A121" s="11" t="s">
        <v>170</v>
      </c>
      <c r="B121" s="21" t="n">
        <f aca="false">Parametros!$B$22</f>
        <v>415</v>
      </c>
      <c r="C121" s="21" t="n">
        <f aca="false">Parametros!$B$29</f>
        <v>717</v>
      </c>
      <c r="D121" s="16" t="n">
        <v>7</v>
      </c>
      <c r="E121" s="34" t="n">
        <f aca="false">2*Parametros!$C$6+(D121-1)*Parametros!$C$7+D121*(C121-Parametros!$C$13)</f>
        <v>5181.62</v>
      </c>
      <c r="F121" s="34" t="n">
        <f aca="false">B121+2*(Parametros!$C$8-Parametros!$C$5)</f>
        <v>500.26</v>
      </c>
      <c r="G121" s="35" t="n">
        <f aca="false">E121*F121/1000000</f>
        <v>2.5921572212</v>
      </c>
      <c r="H121" s="36" t="n">
        <f aca="false">E121/1000</f>
        <v>5.18162</v>
      </c>
      <c r="I121" s="29" t="n">
        <f aca="false">4*$E$4</f>
        <v>28</v>
      </c>
      <c r="J121" s="29" t="n">
        <f aca="false">2*(D121-1)*$E$4</f>
        <v>84</v>
      </c>
      <c r="K121" s="29" t="n">
        <v>0</v>
      </c>
      <c r="L121" s="29" t="n">
        <f aca="false">2*(D121+1)</f>
        <v>16</v>
      </c>
      <c r="M121" s="29" t="n">
        <f aca="false">D121*$E$4</f>
        <v>49</v>
      </c>
      <c r="N121" s="29" t="n">
        <f aca="false">2*D121*$E$4</f>
        <v>98</v>
      </c>
      <c r="O121" s="29" t="n">
        <f aca="false">(D121+1)*$E$4</f>
        <v>56</v>
      </c>
      <c r="P121" s="29" t="n">
        <f aca="false">2*(D121+1)*($E$4-1)</f>
        <v>96</v>
      </c>
    </row>
    <row r="122" customFormat="false" ht="15" hidden="false" customHeight="false" outlineLevel="0" collapsed="false">
      <c r="A122" s="11" t="s">
        <v>170</v>
      </c>
      <c r="B122" s="21" t="n">
        <f aca="false">Parametros!$B$22</f>
        <v>415</v>
      </c>
      <c r="C122" s="21" t="n">
        <f aca="false">Parametros!$B$29</f>
        <v>717</v>
      </c>
      <c r="D122" s="16" t="n">
        <v>8</v>
      </c>
      <c r="E122" s="34" t="n">
        <f aca="false">2*Parametros!$C$6+(D122-1)*Parametros!$C$7+D122*(C122-Parametros!$C$13)</f>
        <v>5918.72</v>
      </c>
      <c r="F122" s="34" t="n">
        <f aca="false">B122+2*(Parametros!$C$8-Parametros!$C$5)</f>
        <v>500.26</v>
      </c>
      <c r="G122" s="35" t="n">
        <f aca="false">E122*F122/1000000</f>
        <v>2.9608988672</v>
      </c>
      <c r="H122" s="36" t="n">
        <f aca="false">E122/1000</f>
        <v>5.91872</v>
      </c>
      <c r="I122" s="29" t="n">
        <f aca="false">4*$E$4</f>
        <v>28</v>
      </c>
      <c r="J122" s="29" t="n">
        <f aca="false">2*(D122-1)*$E$4</f>
        <v>98</v>
      </c>
      <c r="K122" s="29" t="n">
        <v>0</v>
      </c>
      <c r="L122" s="29" t="n">
        <f aca="false">2*(D122+1)</f>
        <v>18</v>
      </c>
      <c r="M122" s="29" t="n">
        <f aca="false">D122*$E$4</f>
        <v>56</v>
      </c>
      <c r="N122" s="29" t="n">
        <f aca="false">2*D122*$E$4</f>
        <v>112</v>
      </c>
      <c r="O122" s="29" t="n">
        <f aca="false">(D122+1)*$E$4</f>
        <v>63</v>
      </c>
      <c r="P122" s="29" t="n">
        <f aca="false">2*(D122+1)*($E$4-1)</f>
        <v>108</v>
      </c>
    </row>
    <row r="123" customFormat="false" ht="15" hidden="false" customHeight="false" outlineLevel="0" collapsed="false">
      <c r="A123" s="11" t="s">
        <v>170</v>
      </c>
      <c r="B123" s="21" t="n">
        <f aca="false">Parametros!$B$22</f>
        <v>415</v>
      </c>
      <c r="C123" s="21" t="n">
        <f aca="false">Parametros!$B$29</f>
        <v>717</v>
      </c>
      <c r="D123" s="16" t="n">
        <v>9</v>
      </c>
      <c r="E123" s="34" t="n">
        <f aca="false">2*Parametros!$C$6+(D123-1)*Parametros!$C$7+D123*(C123-Parametros!$C$13)</f>
        <v>6655.82</v>
      </c>
      <c r="F123" s="34" t="n">
        <f aca="false">B123+2*(Parametros!$C$8-Parametros!$C$5)</f>
        <v>500.26</v>
      </c>
      <c r="G123" s="35" t="n">
        <f aca="false">E123*F123/1000000</f>
        <v>3.3296405132</v>
      </c>
      <c r="H123" s="36" t="n">
        <f aca="false">E123/1000</f>
        <v>6.65582</v>
      </c>
      <c r="I123" s="29" t="n">
        <f aca="false">4*$E$4</f>
        <v>28</v>
      </c>
      <c r="J123" s="29" t="n">
        <f aca="false">2*(D123-1)*$E$4</f>
        <v>112</v>
      </c>
      <c r="K123" s="29" t="n">
        <v>0</v>
      </c>
      <c r="L123" s="29" t="n">
        <f aca="false">2*(D123+1)</f>
        <v>20</v>
      </c>
      <c r="M123" s="29" t="n">
        <f aca="false">D123*$E$4</f>
        <v>63</v>
      </c>
      <c r="N123" s="29" t="n">
        <f aca="false">2*D123*$E$4</f>
        <v>126</v>
      </c>
      <c r="O123" s="29" t="n">
        <f aca="false">(D123+1)*$E$4</f>
        <v>70</v>
      </c>
      <c r="P123" s="29" t="n">
        <f aca="false">2*(D123+1)*($E$4-1)</f>
        <v>120</v>
      </c>
    </row>
    <row r="124" customFormat="false" ht="15" hidden="false" customHeight="false" outlineLevel="0" collapsed="false">
      <c r="A124" s="11" t="s">
        <v>170</v>
      </c>
      <c r="B124" s="21" t="n">
        <f aca="false">Parametros!$B$22</f>
        <v>415</v>
      </c>
      <c r="C124" s="21" t="n">
        <f aca="false">Parametros!$B$29</f>
        <v>717</v>
      </c>
      <c r="D124" s="16" t="n">
        <v>10</v>
      </c>
      <c r="E124" s="34" t="n">
        <f aca="false">2*Parametros!$C$6+(D124-1)*Parametros!$C$7+D124*(C124-Parametros!$C$13)</f>
        <v>7392.92</v>
      </c>
      <c r="F124" s="34" t="n">
        <f aca="false">B124+2*(Parametros!$C$8-Parametros!$C$5)</f>
        <v>500.26</v>
      </c>
      <c r="G124" s="35" t="n">
        <f aca="false">E124*F124/1000000</f>
        <v>3.6983821592</v>
      </c>
      <c r="H124" s="36" t="n">
        <f aca="false">E124/1000</f>
        <v>7.39292</v>
      </c>
      <c r="I124" s="29" t="n">
        <f aca="false">4*$E$4</f>
        <v>28</v>
      </c>
      <c r="J124" s="29" t="n">
        <f aca="false">2*(D124-1)*$E$4</f>
        <v>126</v>
      </c>
      <c r="K124" s="29" t="n">
        <v>0</v>
      </c>
      <c r="L124" s="29" t="n">
        <f aca="false">2*(D124+1)</f>
        <v>22</v>
      </c>
      <c r="M124" s="29" t="n">
        <f aca="false">D124*$E$4</f>
        <v>70</v>
      </c>
      <c r="N124" s="29" t="n">
        <f aca="false">2*D124*$E$4</f>
        <v>140</v>
      </c>
      <c r="O124" s="29" t="n">
        <f aca="false">(D124+1)*$E$4</f>
        <v>77</v>
      </c>
      <c r="P124" s="29" t="n">
        <f aca="false">2*(D124+1)*($E$4-1)</f>
        <v>132</v>
      </c>
    </row>
    <row r="125" customFormat="false" ht="15" hidden="false" customHeight="false" outlineLevel="0" collapsed="false">
      <c r="A125" s="11" t="s">
        <v>170</v>
      </c>
      <c r="B125" s="21" t="n">
        <f aca="false">Parametros!$B$22</f>
        <v>415</v>
      </c>
      <c r="C125" s="21" t="n">
        <f aca="false">Parametros!$B$29</f>
        <v>717</v>
      </c>
      <c r="D125" s="16" t="n">
        <v>11</v>
      </c>
      <c r="E125" s="34" t="n">
        <f aca="false">2*Parametros!$C$6+(D125-1)*Parametros!$C$7+D125*(C125-Parametros!$C$13)</f>
        <v>8130.02</v>
      </c>
      <c r="F125" s="34" t="n">
        <f aca="false">B125+2*(Parametros!$C$8-Parametros!$C$5)</f>
        <v>500.26</v>
      </c>
      <c r="G125" s="35" t="n">
        <f aca="false">E125*F125/1000000</f>
        <v>4.0671238052</v>
      </c>
      <c r="H125" s="36" t="n">
        <f aca="false">E125/1000</f>
        <v>8.13002</v>
      </c>
      <c r="I125" s="29" t="n">
        <f aca="false">4*$E$4</f>
        <v>28</v>
      </c>
      <c r="J125" s="29" t="n">
        <f aca="false">2*(D125-1)*$E$4</f>
        <v>140</v>
      </c>
      <c r="K125" s="29" t="n">
        <v>0</v>
      </c>
      <c r="L125" s="29" t="n">
        <f aca="false">2*(D125+1)</f>
        <v>24</v>
      </c>
      <c r="M125" s="29" t="n">
        <f aca="false">D125*$E$4</f>
        <v>77</v>
      </c>
      <c r="N125" s="29" t="n">
        <f aca="false">2*D125*$E$4</f>
        <v>154</v>
      </c>
      <c r="O125" s="29" t="n">
        <f aca="false">(D125+1)*$E$4</f>
        <v>84</v>
      </c>
      <c r="P125" s="29" t="n">
        <f aca="false">2*(D125+1)*($E$4-1)</f>
        <v>144</v>
      </c>
    </row>
    <row r="126" customFormat="false" ht="15" hidden="false" customHeight="false" outlineLevel="0" collapsed="false">
      <c r="A126" s="11" t="s">
        <v>170</v>
      </c>
      <c r="B126" s="21" t="n">
        <f aca="false">Parametros!$B$22</f>
        <v>415</v>
      </c>
      <c r="C126" s="21" t="n">
        <f aca="false">Parametros!$B$29</f>
        <v>717</v>
      </c>
      <c r="D126" s="16" t="n">
        <v>12</v>
      </c>
      <c r="E126" s="34" t="n">
        <f aca="false">2*Parametros!$C$6+(D126-1)*Parametros!$C$7+D126*(C126-Parametros!$C$13)</f>
        <v>8867.12</v>
      </c>
      <c r="F126" s="34" t="n">
        <f aca="false">B126+2*(Parametros!$C$8-Parametros!$C$5)</f>
        <v>500.26</v>
      </c>
      <c r="G126" s="35" t="n">
        <f aca="false">E126*F126/1000000</f>
        <v>4.4358654512</v>
      </c>
      <c r="H126" s="36" t="n">
        <f aca="false">E126/1000</f>
        <v>8.86712</v>
      </c>
      <c r="I126" s="29" t="n">
        <f aca="false">4*$E$4</f>
        <v>28</v>
      </c>
      <c r="J126" s="29" t="n">
        <f aca="false">2*(D126-1)*$E$4</f>
        <v>154</v>
      </c>
      <c r="K126" s="29" t="n">
        <v>0</v>
      </c>
      <c r="L126" s="29" t="n">
        <f aca="false">2*(D126+1)</f>
        <v>26</v>
      </c>
      <c r="M126" s="29" t="n">
        <f aca="false">D126*$E$4</f>
        <v>84</v>
      </c>
      <c r="N126" s="29" t="n">
        <f aca="false">2*D126*$E$4</f>
        <v>168</v>
      </c>
      <c r="O126" s="29" t="n">
        <f aca="false">(D126+1)*$E$4</f>
        <v>91</v>
      </c>
      <c r="P126" s="29" t="n">
        <f aca="false">2*(D126+1)*($E$4-1)</f>
        <v>156</v>
      </c>
    </row>
    <row r="127" customFormat="false" ht="15" hidden="false" customHeight="false" outlineLevel="0" collapsed="false">
      <c r="A127" s="11" t="s">
        <v>170</v>
      </c>
      <c r="B127" s="21" t="n">
        <f aca="false">Parametros!$B$22</f>
        <v>415</v>
      </c>
      <c r="C127" s="21" t="n">
        <f aca="false">Parametros!$B$29</f>
        <v>717</v>
      </c>
      <c r="D127" s="16" t="n">
        <v>13</v>
      </c>
      <c r="E127" s="34" t="n">
        <f aca="false">2*Parametros!$C$6+(D127-1)*Parametros!$C$7+D127*(C127-Parametros!$C$13)</f>
        <v>9604.22</v>
      </c>
      <c r="F127" s="34" t="n">
        <f aca="false">B127+2*(Parametros!$C$8-Parametros!$C$5)</f>
        <v>500.26</v>
      </c>
      <c r="G127" s="35" t="n">
        <f aca="false">E127*F127/1000000</f>
        <v>4.8046070972</v>
      </c>
      <c r="H127" s="36" t="n">
        <f aca="false">E127/1000</f>
        <v>9.60422</v>
      </c>
      <c r="I127" s="29" t="n">
        <f aca="false">4*$E$4</f>
        <v>28</v>
      </c>
      <c r="J127" s="29" t="n">
        <f aca="false">2*(D127-1)*$E$4</f>
        <v>168</v>
      </c>
      <c r="K127" s="29" t="n">
        <v>0</v>
      </c>
      <c r="L127" s="29" t="n">
        <f aca="false">2*(D127+1)</f>
        <v>28</v>
      </c>
      <c r="M127" s="29" t="n">
        <f aca="false">D127*$E$4</f>
        <v>91</v>
      </c>
      <c r="N127" s="29" t="n">
        <f aca="false">2*D127*$E$4</f>
        <v>182</v>
      </c>
      <c r="O127" s="29" t="n">
        <f aca="false">(D127+1)*$E$4</f>
        <v>98</v>
      </c>
      <c r="P127" s="29" t="n">
        <f aca="false">2*(D127+1)*($E$4-1)</f>
        <v>168</v>
      </c>
    </row>
    <row r="128" customFormat="false" ht="15" hidden="false" customHeight="false" outlineLevel="0" collapsed="false">
      <c r="A128" s="11" t="s">
        <v>170</v>
      </c>
      <c r="B128" s="21" t="n">
        <f aca="false">Parametros!$B$22</f>
        <v>415</v>
      </c>
      <c r="C128" s="21" t="n">
        <f aca="false">Parametros!$B$29</f>
        <v>717</v>
      </c>
      <c r="D128" s="16" t="n">
        <v>14</v>
      </c>
      <c r="E128" s="34" t="n">
        <f aca="false">2*Parametros!$C$6+(D128-1)*Parametros!$C$7+D128*(C128-Parametros!$C$13)</f>
        <v>10341.32</v>
      </c>
      <c r="F128" s="34" t="n">
        <f aca="false">B128+2*(Parametros!$C$8-Parametros!$C$5)</f>
        <v>500.26</v>
      </c>
      <c r="G128" s="35" t="n">
        <f aca="false">E128*F128/1000000</f>
        <v>5.1733487432</v>
      </c>
      <c r="H128" s="36" t="n">
        <f aca="false">E128/1000</f>
        <v>10.34132</v>
      </c>
      <c r="I128" s="29" t="n">
        <f aca="false">4*$E$4</f>
        <v>28</v>
      </c>
      <c r="J128" s="29" t="n">
        <f aca="false">2*(D128-1)*$E$4</f>
        <v>182</v>
      </c>
      <c r="K128" s="29" t="n">
        <v>0</v>
      </c>
      <c r="L128" s="29" t="n">
        <f aca="false">2*(D128+1)</f>
        <v>30</v>
      </c>
      <c r="M128" s="29" t="n">
        <f aca="false">D128*$E$4</f>
        <v>98</v>
      </c>
      <c r="N128" s="29" t="n">
        <f aca="false">2*D128*$E$4</f>
        <v>196</v>
      </c>
      <c r="O128" s="29" t="n">
        <f aca="false">(D128+1)*$E$4</f>
        <v>105</v>
      </c>
      <c r="P128" s="29" t="n">
        <f aca="false">2*(D128+1)*($E$4-1)</f>
        <v>180</v>
      </c>
    </row>
    <row r="129" customFormat="false" ht="15" hidden="false" customHeight="false" outlineLevel="0" collapsed="false">
      <c r="A129" s="11" t="s">
        <v>170</v>
      </c>
      <c r="B129" s="21" t="n">
        <f aca="false">Parametros!$B$22</f>
        <v>415</v>
      </c>
      <c r="C129" s="21" t="n">
        <f aca="false">Parametros!$B$29</f>
        <v>717</v>
      </c>
      <c r="D129" s="16" t="n">
        <v>15</v>
      </c>
      <c r="E129" s="34" t="n">
        <f aca="false">2*Parametros!$C$6+(D129-1)*Parametros!$C$7+D129*(C129-Parametros!$C$13)</f>
        <v>11078.42</v>
      </c>
      <c r="F129" s="34" t="n">
        <f aca="false">B129+2*(Parametros!$C$8-Parametros!$C$5)</f>
        <v>500.26</v>
      </c>
      <c r="G129" s="35" t="n">
        <f aca="false">E129*F129/1000000</f>
        <v>5.5420903892</v>
      </c>
      <c r="H129" s="36" t="n">
        <f aca="false">E129/1000</f>
        <v>11.07842</v>
      </c>
      <c r="I129" s="29" t="n">
        <f aca="false">4*$E$4</f>
        <v>28</v>
      </c>
      <c r="J129" s="29" t="n">
        <f aca="false">2*(D129-1)*$E$4</f>
        <v>196</v>
      </c>
      <c r="K129" s="29" t="n">
        <v>0</v>
      </c>
      <c r="L129" s="29" t="n">
        <f aca="false">2*(D129+1)</f>
        <v>32</v>
      </c>
      <c r="M129" s="29" t="n">
        <f aca="false">D129*$E$4</f>
        <v>105</v>
      </c>
      <c r="N129" s="29" t="n">
        <f aca="false">2*D129*$E$4</f>
        <v>210</v>
      </c>
      <c r="O129" s="29" t="n">
        <f aca="false">(D129+1)*$E$4</f>
        <v>112</v>
      </c>
      <c r="P129" s="29" t="n">
        <f aca="false">2*(D129+1)*($E$4-1)</f>
        <v>192</v>
      </c>
    </row>
    <row r="130" customFormat="false" ht="15" hidden="false" customHeight="false" outlineLevel="0" collapsed="false">
      <c r="A130" s="11" t="s">
        <v>170</v>
      </c>
      <c r="B130" s="21" t="n">
        <f aca="false">Parametros!$B$22</f>
        <v>415</v>
      </c>
      <c r="C130" s="21" t="n">
        <f aca="false">Parametros!$B$29</f>
        <v>717</v>
      </c>
      <c r="D130" s="16" t="n">
        <v>16</v>
      </c>
      <c r="E130" s="34" t="n">
        <f aca="false">2*Parametros!$C$6+(D130-1)*Parametros!$C$7+D130*(C130-Parametros!$C$13)</f>
        <v>11815.52</v>
      </c>
      <c r="F130" s="34" t="n">
        <f aca="false">B130+2*(Parametros!$C$8-Parametros!$C$5)</f>
        <v>500.26</v>
      </c>
      <c r="G130" s="35" t="n">
        <f aca="false">E130*F130/1000000</f>
        <v>5.9108320352</v>
      </c>
      <c r="H130" s="36" t="n">
        <f aca="false">E130/1000</f>
        <v>11.81552</v>
      </c>
      <c r="I130" s="29" t="n">
        <f aca="false">4*$E$4</f>
        <v>28</v>
      </c>
      <c r="J130" s="29" t="n">
        <f aca="false">2*(D130-1)*$E$4</f>
        <v>210</v>
      </c>
      <c r="K130" s="29" t="n">
        <v>0</v>
      </c>
      <c r="L130" s="29" t="n">
        <f aca="false">2*(D130+1)</f>
        <v>34</v>
      </c>
      <c r="M130" s="29" t="n">
        <f aca="false">D130*$E$4</f>
        <v>112</v>
      </c>
      <c r="N130" s="29" t="n">
        <f aca="false">2*D130*$E$4</f>
        <v>224</v>
      </c>
      <c r="O130" s="29" t="n">
        <f aca="false">(D130+1)*$E$4</f>
        <v>119</v>
      </c>
      <c r="P130" s="29" t="n">
        <f aca="false">2*(D130+1)*($E$4-1)</f>
        <v>204</v>
      </c>
    </row>
    <row r="131" customFormat="false" ht="15" hidden="false" customHeight="false" outlineLevel="0" collapsed="false">
      <c r="A131" s="11" t="s">
        <v>170</v>
      </c>
      <c r="B131" s="21" t="n">
        <f aca="false">Parametros!$B$22</f>
        <v>415</v>
      </c>
      <c r="C131" s="21" t="n">
        <f aca="false">Parametros!$B$29</f>
        <v>717</v>
      </c>
      <c r="D131" s="16" t="n">
        <v>17</v>
      </c>
      <c r="E131" s="34" t="n">
        <f aca="false">2*Parametros!$C$6+(D131-1)*Parametros!$C$7+D131*(C131-Parametros!$C$13)</f>
        <v>12552.62</v>
      </c>
      <c r="F131" s="34" t="n">
        <f aca="false">B131+2*(Parametros!$C$8-Parametros!$C$5)</f>
        <v>500.26</v>
      </c>
      <c r="G131" s="35" t="n">
        <f aca="false">E131*F131/1000000</f>
        <v>6.2795736812</v>
      </c>
      <c r="H131" s="36" t="n">
        <f aca="false">E131/1000</f>
        <v>12.55262</v>
      </c>
      <c r="I131" s="29" t="n">
        <f aca="false">4*$E$4</f>
        <v>28</v>
      </c>
      <c r="J131" s="29" t="n">
        <f aca="false">2*(D131-1)*$E$4</f>
        <v>224</v>
      </c>
      <c r="K131" s="29" t="n">
        <v>0</v>
      </c>
      <c r="L131" s="29" t="n">
        <f aca="false">2*(D131+1)</f>
        <v>36</v>
      </c>
      <c r="M131" s="29" t="n">
        <f aca="false">D131*$E$4</f>
        <v>119</v>
      </c>
      <c r="N131" s="29" t="n">
        <f aca="false">2*D131*$E$4</f>
        <v>238</v>
      </c>
      <c r="O131" s="29" t="n">
        <f aca="false">(D131+1)*$E$4</f>
        <v>126</v>
      </c>
      <c r="P131" s="29" t="n">
        <f aca="false">2*(D131+1)*($E$4-1)</f>
        <v>216</v>
      </c>
    </row>
    <row r="132" customFormat="false" ht="15" hidden="false" customHeight="false" outlineLevel="0" collapsed="false">
      <c r="A132" s="11" t="s">
        <v>170</v>
      </c>
      <c r="B132" s="21" t="n">
        <f aca="false">Parametros!$B$22</f>
        <v>415</v>
      </c>
      <c r="C132" s="21" t="n">
        <f aca="false">Parametros!$B$29</f>
        <v>717</v>
      </c>
      <c r="D132" s="16" t="n">
        <v>18</v>
      </c>
      <c r="E132" s="34" t="n">
        <f aca="false">2*Parametros!$C$6+(D132-1)*Parametros!$C$7+D132*(C132-Parametros!$C$13)</f>
        <v>13289.72</v>
      </c>
      <c r="F132" s="34" t="n">
        <f aca="false">B132+2*(Parametros!$C$8-Parametros!$C$5)</f>
        <v>500.26</v>
      </c>
      <c r="G132" s="35" t="n">
        <f aca="false">E132*F132/1000000</f>
        <v>6.6483153272</v>
      </c>
      <c r="H132" s="36" t="n">
        <f aca="false">E132/1000</f>
        <v>13.28972</v>
      </c>
      <c r="I132" s="29" t="n">
        <f aca="false">4*$E$4</f>
        <v>28</v>
      </c>
      <c r="J132" s="29" t="n">
        <f aca="false">2*(D132-1)*$E$4</f>
        <v>238</v>
      </c>
      <c r="K132" s="29" t="n">
        <v>0</v>
      </c>
      <c r="L132" s="29" t="n">
        <f aca="false">2*(D132+1)</f>
        <v>38</v>
      </c>
      <c r="M132" s="29" t="n">
        <f aca="false">D132*$E$4</f>
        <v>126</v>
      </c>
      <c r="N132" s="29" t="n">
        <f aca="false">2*D132*$E$4</f>
        <v>252</v>
      </c>
      <c r="O132" s="29" t="n">
        <f aca="false">(D132+1)*$E$4</f>
        <v>133</v>
      </c>
      <c r="P132" s="29" t="n">
        <f aca="false">2*(D132+1)*($E$4-1)</f>
        <v>228</v>
      </c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customFormat="false" ht="15" hidden="false" customHeight="true" outlineLevel="0" collapsed="false">
      <c r="A134" s="17" t="s">
        <v>171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2"/>
      <c r="L134" s="2"/>
      <c r="M134" s="2"/>
      <c r="N134" s="2"/>
      <c r="O134" s="2"/>
      <c r="P134" s="2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2"/>
      <c r="L135" s="2"/>
      <c r="M135" s="2"/>
      <c r="N135" s="2"/>
      <c r="O135" s="2"/>
      <c r="P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customFormat="false" ht="15" hidden="false" customHeight="false" outlineLevel="0" collapsed="false">
      <c r="A137" s="5" t="s">
        <v>172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</sheetData>
  <autoFilter ref="A6:P132"/>
  <mergeCells count="1">
    <mergeCell ref="A134:J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2026-09-08T14:22:50Z</dcterms:created>
  <dc:creator>openpyxl</dc:creator>
  <dc:description/>
  <dc:language>en-US</dc:language>
  <cp:lastModifiedBy/>
  <dcterms:modified xsi:type="dcterms:W3CDTF">2026-09-08T14:22:51Z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