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t" sheetId="1" state="visible" r:id="rId3"/>
    <sheet name="Modulos" sheetId="2" state="visible" r:id="rId4"/>
    <sheet name="Showroom" sheetId="3" state="visible" r:id="rId5"/>
    <sheet name="Parametr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<sst xmlns="http://schemas.openxmlformats.org/spreadsheetml/2006/main" count="148" uniqueCount="133">
  <si>
    <t xml:space="preserve">Nitron Mob PDV — o kit enxuto</t>
  </si>
  <si>
    <t xml:space="preserve">Seis peças. Um painel, três ripas, dois conectores. Todo módulo da loja sai daqui — sem cruzeta, sem peça L, sem porta-haste.</t>
  </si>
  <si>
    <t xml:space="preserve">Peça</t>
  </si>
  <si>
    <t xml:space="preserve">Código / PI</t>
  </si>
  <si>
    <t xml:space="preserve">Medida</t>
  </si>
  <si>
    <t xml:space="preserve">Massa unit. (kg)</t>
  </si>
  <si>
    <t xml:space="preserve">Custo unit. (R$)</t>
  </si>
  <si>
    <t xml:space="preserve">Origem do custo</t>
  </si>
  <si>
    <t xml:space="preserve">Painel de prateleira</t>
  </si>
  <si>
    <t xml:space="preserve">novo · pinus 15 mm</t>
  </si>
  <si>
    <t xml:space="preserve">300 × 754 mm</t>
  </si>
  <si>
    <t xml:space="preserve">pinus a R$ 19.03/kg (caderno)</t>
  </si>
  <si>
    <t xml:space="preserve">Ripa de largura</t>
  </si>
  <si>
    <t xml:space="preserve">BLA-03-AC</t>
  </si>
  <si>
    <t xml:space="preserve">287 mm</t>
  </si>
  <si>
    <t xml:space="preserve">PI existente</t>
  </si>
  <si>
    <t xml:space="preserve">Ripa de comprimento</t>
  </si>
  <si>
    <t xml:space="preserve">PSC-04</t>
  </si>
  <si>
    <t xml:space="preserve">717 mm</t>
  </si>
  <si>
    <t xml:space="preserve">Ripa vertical (baia)</t>
  </si>
  <si>
    <t xml:space="preserve">BAL-02-AC</t>
  </si>
  <si>
    <t xml:space="preserve">270 mm</t>
  </si>
  <si>
    <t xml:space="preserve">Pé</t>
  </si>
  <si>
    <t xml:space="preserve">—</t>
  </si>
  <si>
    <t xml:space="preserve">60 mm</t>
  </si>
  <si>
    <t xml:space="preserve">sobra de ripa</t>
  </si>
  <si>
    <t xml:space="preserve">Trizeta</t>
  </si>
  <si>
    <t xml:space="preserve">PP · molde existente</t>
  </si>
  <si>
    <t xml:space="preserve">61,61 × 83,23 × 73,08</t>
  </si>
  <si>
    <t xml:space="preserve">caderno: 44.3 g de PP</t>
  </si>
  <si>
    <t xml:space="preserve">Tampa</t>
  </si>
  <si>
    <t xml:space="preserve">caderno: 1.1 g de PP</t>
  </si>
  <si>
    <t xml:space="preserve">O que SAI do sistema e por quê</t>
  </si>
  <si>
    <t xml:space="preserve">Cruzeta</t>
  </si>
  <si>
    <t xml:space="preserve">4 injetadas contra centenas necessárias. Módulos de um vão encostados dispensam poste compartilhado — custa 7% a mais em madeira e trizeta e zera a dependência do molde.</t>
  </si>
  <si>
    <t xml:space="preserve">Painéis de 200 e 460</t>
  </si>
  <si>
    <t xml:space="preserve">uma profundidade só. 372 mm cobre 82% dos SKUs do catálogo e 75% do faturamento em prateleira; o resto (lixeira, cesto, caixa grande) vai para o tampo do módulo baixo ou para o piso — onde já fica em qualquer loja.</t>
  </si>
  <si>
    <t xml:space="preserve">Ripas PSC-01/02/03</t>
  </si>
  <si>
    <t xml:space="preserve">um vão só, o maior: menos postes, menos trizetas e menos painéis por metro. As paredes do showroom fecham com folga de 28 a 476 mm.</t>
  </si>
  <si>
    <t xml:space="preserve">Ripa PSA-05 (513)</t>
  </si>
  <si>
    <t xml:space="preserve">uma baia só. Produto acima de 247 mm de altura não vai em prateleira — vai no tampo do módulo baixo (878 mm, sem teto).</t>
  </si>
  <si>
    <t xml:space="preserve">Peça L e porta-haste</t>
  </si>
  <si>
    <t xml:space="preserve">sem coroa e sem gancheira nesta fase. A testeira sobe em haste comum fixada na tampa do poste.</t>
  </si>
  <si>
    <t xml:space="preserve">Os dois módulos</t>
  </si>
  <si>
    <t xml:space="preserve">Um vão de PSC-04, painel 300 × 754, baias de 270. ALTO para parede, BAIXO para o miolo. Contagem e custo são fórmulas sobre a aba Kit.</t>
  </si>
  <si>
    <t xml:space="preserve">ALTO · 270 × 6</t>
  </si>
  <si>
    <t xml:space="preserve">BAIXO · 270 × 3</t>
  </si>
  <si>
    <t xml:space="preserve">fórmula</t>
  </si>
  <si>
    <t xml:space="preserve">baias</t>
  </si>
  <si>
    <t xml:space="preserve">prateleiras</t>
  </si>
  <si>
    <t xml:space="preserve">baias + 1</t>
  </si>
  <si>
    <t xml:space="preserve">comprimento externo (mm)</t>
  </si>
  <si>
    <t xml:space="preserve">2×NOX + ripa − CONSOME</t>
  </si>
  <si>
    <t xml:space="preserve">profundidade externa (mm)</t>
  </si>
  <si>
    <t xml:space="preserve">ripa + 2×(NOY − ENC)</t>
  </si>
  <si>
    <t xml:space="preserve">altura externa (mm)</t>
  </si>
  <si>
    <t xml:space="preserve">PE + (baias+1)×NOZ + baias×(270 − CONSOME)</t>
  </si>
  <si>
    <t xml:space="preserve">face da última prateleira (mm)</t>
  </si>
  <si>
    <t xml:space="preserve">topo do nó + painel/2</t>
  </si>
  <si>
    <t xml:space="preserve">trizetas</t>
  </si>
  <si>
    <t xml:space="preserve">4 por nível</t>
  </si>
  <si>
    <t xml:space="preserve">tampas</t>
  </si>
  <si>
    <t xml:space="preserve">1 por poste</t>
  </si>
  <si>
    <t xml:space="preserve">painéis</t>
  </si>
  <si>
    <t xml:space="preserve">1 por prateleira</t>
  </si>
  <si>
    <t xml:space="preserve">ripas de comprimento</t>
  </si>
  <si>
    <t xml:space="preserve">frente e fundo por nível</t>
  </si>
  <si>
    <t xml:space="preserve">ripas de largura</t>
  </si>
  <si>
    <t xml:space="preserve">2 por nível</t>
  </si>
  <si>
    <t xml:space="preserve">ripas verticais 270</t>
  </si>
  <si>
    <t xml:space="preserve">4 por baia</t>
  </si>
  <si>
    <t xml:space="preserve">pés</t>
  </si>
  <si>
    <t xml:space="preserve">massa (kg)</t>
  </si>
  <si>
    <t xml:space="preserve">Σ peças × massa</t>
  </si>
  <si>
    <t xml:space="preserve">custo material (R$)</t>
  </si>
  <si>
    <t xml:space="preserve">Σ peças × custo</t>
  </si>
  <si>
    <t xml:space="preserve">frente linear por módulo (m)</t>
  </si>
  <si>
    <t xml:space="preserve">comprimento × prateleiras</t>
  </si>
  <si>
    <t xml:space="preserve">razão altura ÷ profundidade</t>
  </si>
  <si>
    <t xml:space="preserve">acima de 3 pede ancoragem na parede</t>
  </si>
  <si>
    <t xml:space="preserve">Custo é só material (madeira a R$/kg do caderno + PP dos conectores). Não inclui corte, montagem, embalagem nem frete. Módulo contra parede não leva painel de fundo — a parede do prédio é o fundo.</t>
  </si>
  <si>
    <t xml:space="preserve">O showroom só com os dois módulos</t>
  </si>
  <si>
    <t xml:space="preserve">Módulos encostados, poste ao lado de poste. Folga vai para o canto. Contagem e custo são fórmulas.</t>
  </si>
  <si>
    <t xml:space="preserve">Onde</t>
  </si>
  <si>
    <t xml:space="preserve">Corrida livre (mm)</t>
  </si>
  <si>
    <t xml:space="preserve">Módulo</t>
  </si>
  <si>
    <t xml:space="preserve">Quantidade</t>
  </si>
  <si>
    <t xml:space="preserve">Comprimento montado (mm)</t>
  </si>
  <si>
    <t xml:space="preserve">Folga (mm)</t>
  </si>
  <si>
    <t xml:space="preserve">Custo (R$)</t>
  </si>
  <si>
    <t xml:space="preserve">Frente (m)</t>
  </si>
  <si>
    <t xml:space="preserve">Paredão sul</t>
  </si>
  <si>
    <t xml:space="preserve">ALTO</t>
  </si>
  <si>
    <t xml:space="preserve">Paredão norte</t>
  </si>
  <si>
    <t xml:space="preserve">Paredão do fundo</t>
  </si>
  <si>
    <t xml:space="preserve">Parede de entrada</t>
  </si>
  <si>
    <t xml:space="preserve">Ilha 1 (2 × 2, costa a costa)</t>
  </si>
  <si>
    <t xml:space="preserve">BAIXO</t>
  </si>
  <si>
    <t xml:space="preserve">Ilha 2 (2 × 2, costa a costa)</t>
  </si>
  <si>
    <t xml:space="preserve">Corredor de checkout (2 lados × 3)</t>
  </si>
  <si>
    <t xml:space="preserve">TOTAL</t>
  </si>
  <si>
    <t xml:space="preserve">Peças para comprar / injetar</t>
  </si>
  <si>
    <t xml:space="preserve">Massa total (kg)</t>
  </si>
  <si>
    <t xml:space="preserve">Custo total (R$)</t>
  </si>
  <si>
    <t xml:space="preserve">Painel 300 × 754</t>
  </si>
  <si>
    <t xml:space="preserve">Ripa PSC-04 (717)</t>
  </si>
  <si>
    <t xml:space="preserve">Ripa BLA-03-AC (287)</t>
  </si>
  <si>
    <t xml:space="preserve">Ripa BAL-02-AC (270)</t>
  </si>
  <si>
    <t xml:space="preserve">Cruzetas</t>
  </si>
  <si>
    <t xml:space="preserve">← era 716 na spec anterior</t>
  </si>
  <si>
    <t xml:space="preserve">Spec anterior (painel 460, postes compartilhados, com fundo): R$ 26.914 e 716 cruzetas só nas quatro paredes. Esta: veja o TOTAL acima, zero cruzetas, e cada módulo sai da caixa igual ao outro.</t>
  </si>
  <si>
    <t xml:space="preserve">Cotas do sistema (mesmas da planilha 44 — em amarelo as que faltam conferir com trena)</t>
  </si>
  <si>
    <t xml:space="preserve">Parâmetro</t>
  </si>
  <si>
    <t xml:space="preserve">Símbolo</t>
  </si>
  <si>
    <t xml:space="preserve">Valor (mm)</t>
  </si>
  <si>
    <t xml:space="preserve">Encaixe</t>
  </si>
  <si>
    <t xml:space="preserve">ENC</t>
  </si>
  <si>
    <t xml:space="preserve">Trizeta · comprimento</t>
  </si>
  <si>
    <t xml:space="preserve">NOX</t>
  </si>
  <si>
    <t xml:space="preserve">Cruzeta · comprimento</t>
  </si>
  <si>
    <t xml:space="preserve">NOXC</t>
  </si>
  <si>
    <t xml:space="preserve">Trizeta · profundidade</t>
  </si>
  <si>
    <t xml:space="preserve">NOY</t>
  </si>
  <si>
    <t xml:space="preserve">Trizeta · vertical</t>
  </si>
  <si>
    <t xml:space="preserve">NOZ</t>
  </si>
  <si>
    <t xml:space="preserve">Peça L · sobra</t>
  </si>
  <si>
    <t xml:space="preserve">NOL</t>
  </si>
  <si>
    <t xml:space="preserve">Pé exposto</t>
  </si>
  <si>
    <t xml:space="preserve">PE</t>
  </si>
  <si>
    <t xml:space="preserve">Espessura do painel</t>
  </si>
  <si>
    <t xml:space="preserve">PANT</t>
  </si>
  <si>
    <t xml:space="preserve">Ripa consome</t>
  </si>
  <si>
    <t xml:space="preserve">CONSOME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</si>
</sst>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0"/>
    <numFmt numFmtId="166" formatCode="&quot;R$ &quot;0.0000"/>
    <numFmt numFmtId="167" formatCode="#,##0"/>
    <numFmt numFmtId="168" formatCode="0.0&quot; kg&quot;"/>
    <numFmt numFmtId="169" formatCode="&quot;R$ &quot;#,##0.00"/>
    <numFmt numFmtId="170" formatCode="0.00"/>
    <numFmt numFmtId="171" formatCode="General"/>
    <numFmt numFmtId="172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A7AC"/>
        <bgColor rgb="FF33CC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1EA7A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5" t="s">
        <v>10</v>
      </c>
      <c r="D5" s="6" t="n">
        <v>1.8865</v>
      </c>
      <c r="E5" s="7" t="n">
        <v>35.9002</v>
      </c>
      <c r="F5" s="8" t="s">
        <v>11</v>
      </c>
    </row>
    <row r="6" customFormat="false" ht="15" hidden="false" customHeight="false" outlineLevel="0" collapsed="false">
      <c r="A6" s="4" t="s">
        <v>12</v>
      </c>
      <c r="B6" s="5" t="s">
        <v>13</v>
      </c>
      <c r="C6" s="5" t="s">
        <v>14</v>
      </c>
      <c r="D6" s="6" t="n">
        <v>0.0649</v>
      </c>
      <c r="E6" s="7" t="n">
        <v>1.2359</v>
      </c>
      <c r="F6" s="8" t="s">
        <v>15</v>
      </c>
    </row>
    <row r="7" customFormat="false" ht="15" hidden="false" customHeight="false" outlineLevel="0" collapsed="false">
      <c r="A7" s="4" t="s">
        <v>16</v>
      </c>
      <c r="B7" s="5" t="s">
        <v>17</v>
      </c>
      <c r="C7" s="5" t="s">
        <v>18</v>
      </c>
      <c r="D7" s="6" t="n">
        <v>0.1622</v>
      </c>
      <c r="E7" s="7" t="n">
        <v>3.0875</v>
      </c>
      <c r="F7" s="8" t="s">
        <v>15</v>
      </c>
    </row>
    <row r="8" customFormat="false" ht="15" hidden="false" customHeight="false" outlineLevel="0" collapsed="false">
      <c r="A8" s="4" t="s">
        <v>19</v>
      </c>
      <c r="B8" s="5" t="s">
        <v>20</v>
      </c>
      <c r="C8" s="5" t="s">
        <v>21</v>
      </c>
      <c r="D8" s="6" t="n">
        <v>0.0611</v>
      </c>
      <c r="E8" s="7" t="n">
        <v>1.1626</v>
      </c>
      <c r="F8" s="8" t="s">
        <v>15</v>
      </c>
    </row>
    <row r="9" customFormat="false" ht="15" hidden="false" customHeight="false" outlineLevel="0" collapsed="false">
      <c r="A9" s="4" t="s">
        <v>22</v>
      </c>
      <c r="B9" s="5" t="s">
        <v>23</v>
      </c>
      <c r="C9" s="5" t="s">
        <v>24</v>
      </c>
      <c r="D9" s="6" t="n">
        <v>0.0136</v>
      </c>
      <c r="E9" s="7" t="n">
        <v>0.2584</v>
      </c>
      <c r="F9" s="8" t="s">
        <v>25</v>
      </c>
    </row>
    <row r="10" customFormat="false" ht="15" hidden="false" customHeight="false" outlineLevel="0" collapsed="false">
      <c r="A10" s="4" t="s">
        <v>26</v>
      </c>
      <c r="B10" s="5" t="s">
        <v>27</v>
      </c>
      <c r="C10" s="5" t="s">
        <v>28</v>
      </c>
      <c r="D10" s="6" t="n">
        <v>0.0443</v>
      </c>
      <c r="E10" s="7" t="n">
        <v>0.3875</v>
      </c>
      <c r="F10" s="8" t="s">
        <v>29</v>
      </c>
    </row>
    <row r="11" customFormat="false" ht="15" hidden="false" customHeight="false" outlineLevel="0" collapsed="false">
      <c r="A11" s="4" t="s">
        <v>30</v>
      </c>
      <c r="B11" s="5" t="s">
        <v>27</v>
      </c>
      <c r="C11" s="5" t="s">
        <v>23</v>
      </c>
      <c r="D11" s="6" t="n">
        <v>0.0011</v>
      </c>
      <c r="E11" s="7" t="n">
        <v>0.0097</v>
      </c>
      <c r="F11" s="8" t="s">
        <v>31</v>
      </c>
    </row>
    <row r="13" customFormat="false" ht="15" hidden="false" customHeight="false" outlineLevel="0" collapsed="false">
      <c r="A13" s="9" t="s">
        <v>32</v>
      </c>
    </row>
    <row r="14" customFormat="false" ht="30" hidden="false" customHeight="true" outlineLevel="0" collapsed="false">
      <c r="A14" s="9" t="s">
        <v>33</v>
      </c>
      <c r="B14" s="10" t="s">
        <v>34</v>
      </c>
      <c r="C14" s="10"/>
      <c r="D14" s="10"/>
      <c r="E14" s="10"/>
      <c r="F14" s="10"/>
    </row>
    <row r="15" customFormat="false" ht="30" hidden="false" customHeight="true" outlineLevel="0" collapsed="false">
      <c r="A15" s="9" t="s">
        <v>35</v>
      </c>
      <c r="B15" s="10" t="s">
        <v>36</v>
      </c>
      <c r="C15" s="10"/>
      <c r="D15" s="10"/>
      <c r="E15" s="10"/>
      <c r="F15" s="10"/>
    </row>
    <row r="16" customFormat="false" ht="30" hidden="false" customHeight="true" outlineLevel="0" collapsed="false">
      <c r="A16" s="9" t="s">
        <v>37</v>
      </c>
      <c r="B16" s="10" t="s">
        <v>38</v>
      </c>
      <c r="C16" s="10"/>
      <c r="D16" s="10"/>
      <c r="E16" s="10"/>
      <c r="F16" s="10"/>
    </row>
    <row r="17" customFormat="false" ht="30" hidden="false" customHeight="true" outlineLevel="0" collapsed="false">
      <c r="A17" s="9" t="s">
        <v>39</v>
      </c>
      <c r="B17" s="10" t="s">
        <v>40</v>
      </c>
      <c r="C17" s="10"/>
      <c r="D17" s="10"/>
      <c r="E17" s="10"/>
      <c r="F17" s="10"/>
    </row>
    <row r="18" customFormat="false" ht="30" hidden="false" customHeight="true" outlineLevel="0" collapsed="false">
      <c r="A18" s="9" t="s">
        <v>41</v>
      </c>
      <c r="B18" s="10" t="s">
        <v>42</v>
      </c>
      <c r="C18" s="10"/>
      <c r="D18" s="10"/>
      <c r="E18" s="10"/>
      <c r="F18" s="10"/>
    </row>
  </sheetData>
  <mergeCells count="5">
    <mergeCell ref="B14:F14"/>
    <mergeCell ref="B15:F15"/>
    <mergeCell ref="B16:F16"/>
    <mergeCell ref="B17:F17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3"/>
      <c r="B4" s="3" t="s">
        <v>45</v>
      </c>
      <c r="C4" s="3" t="s">
        <v>46</v>
      </c>
      <c r="D4" s="3" t="s">
        <v>47</v>
      </c>
    </row>
    <row r="5" customFormat="false" ht="15" hidden="false" customHeight="false" outlineLevel="0" collapsed="false">
      <c r="A5" s="0" t="s">
        <v>48</v>
      </c>
      <c r="B5" s="11" t="n">
        <v>6</v>
      </c>
      <c r="C5" s="11" t="n">
        <v>3</v>
      </c>
    </row>
    <row r="6" customFormat="false" ht="15" hidden="false" customHeight="false" outlineLevel="0" collapsed="false">
      <c r="A6" s="4" t="s">
        <v>49</v>
      </c>
      <c r="B6" s="5" t="n">
        <f aca="false">B5+1</f>
        <v>7</v>
      </c>
      <c r="C6" s="5" t="n">
        <f aca="false">C5+1</f>
        <v>4</v>
      </c>
      <c r="D6" s="8" t="s">
        <v>50</v>
      </c>
    </row>
    <row r="7" customFormat="false" ht="15" hidden="false" customHeight="false" outlineLevel="0" collapsed="false">
      <c r="A7" s="4" t="s">
        <v>51</v>
      </c>
      <c r="B7" s="12" t="n">
        <f aca="false">2*Parametros!$C$6+717-Parametros!$C$13</f>
        <v>759.02</v>
      </c>
      <c r="C7" s="12" t="n">
        <f aca="false">2*Parametros!$C$6+717-Parametros!$C$13</f>
        <v>759.02</v>
      </c>
      <c r="D7" s="8" t="s">
        <v>52</v>
      </c>
    </row>
    <row r="8" customFormat="false" ht="15" hidden="false" customHeight="false" outlineLevel="0" collapsed="false">
      <c r="A8" s="4" t="s">
        <v>53</v>
      </c>
      <c r="B8" s="12" t="n">
        <f aca="false">287+2*(Parametros!$C$8-Parametros!$C$5)</f>
        <v>372.26</v>
      </c>
      <c r="C8" s="12" t="n">
        <f aca="false">287+2*(Parametros!$C$8-Parametros!$C$5)</f>
        <v>372.26</v>
      </c>
      <c r="D8" s="8" t="s">
        <v>54</v>
      </c>
    </row>
    <row r="9" customFormat="false" ht="15" hidden="false" customHeight="false" outlineLevel="0" collapsed="false">
      <c r="A9" s="4" t="s">
        <v>55</v>
      </c>
      <c r="B9" s="12" t="n">
        <f aca="false">Parametros!$C$11+(B5+1)*Parametros!$C$9+B5*(270-Parametros!$C$13)</f>
        <v>1663.76</v>
      </c>
      <c r="C9" s="12" t="n">
        <f aca="false">Parametros!$C$11+(C5+1)*Parametros!$C$9+C5*(270-Parametros!$C$13)</f>
        <v>878.12</v>
      </c>
      <c r="D9" s="8" t="s">
        <v>56</v>
      </c>
    </row>
    <row r="10" customFormat="false" ht="15" hidden="false" customHeight="false" outlineLevel="0" collapsed="false">
      <c r="A10" s="4" t="s">
        <v>57</v>
      </c>
      <c r="B10" s="12" t="n">
        <f aca="false">Parametros!$C$11+(B5+1)*Parametros!$C$9+B5*(270-Parametros!$C$13)+Parametros!$C$12/2</f>
        <v>1671.26</v>
      </c>
      <c r="C10" s="12" t="n">
        <f aca="false">Parametros!$C$11+(C5+1)*Parametros!$C$9+C5*(270-Parametros!$C$13)+Parametros!$C$12/2</f>
        <v>885.62</v>
      </c>
      <c r="D10" s="8" t="s">
        <v>58</v>
      </c>
    </row>
    <row r="11" customFormat="false" ht="15" hidden="false" customHeight="false" outlineLevel="0" collapsed="false">
      <c r="A11" s="4" t="s">
        <v>59</v>
      </c>
      <c r="B11" s="5" t="n">
        <f aca="false">4*B6</f>
        <v>28</v>
      </c>
      <c r="C11" s="5" t="n">
        <f aca="false">4*C6</f>
        <v>16</v>
      </c>
      <c r="D11" s="8" t="s">
        <v>60</v>
      </c>
    </row>
    <row r="12" customFormat="false" ht="15" hidden="false" customHeight="false" outlineLevel="0" collapsed="false">
      <c r="A12" s="4" t="s">
        <v>61</v>
      </c>
      <c r="B12" s="5" t="n">
        <f aca="false">4</f>
        <v>4</v>
      </c>
      <c r="C12" s="5" t="n">
        <f aca="false">4</f>
        <v>4</v>
      </c>
      <c r="D12" s="8" t="s">
        <v>62</v>
      </c>
    </row>
    <row r="13" customFormat="false" ht="15" hidden="false" customHeight="false" outlineLevel="0" collapsed="false">
      <c r="A13" s="4" t="s">
        <v>63</v>
      </c>
      <c r="B13" s="5" t="n">
        <f aca="false">B6</f>
        <v>7</v>
      </c>
      <c r="C13" s="5" t="n">
        <f aca="false">C6</f>
        <v>4</v>
      </c>
      <c r="D13" s="8" t="s">
        <v>64</v>
      </c>
    </row>
    <row r="14" customFormat="false" ht="15" hidden="false" customHeight="false" outlineLevel="0" collapsed="false">
      <c r="A14" s="4" t="s">
        <v>65</v>
      </c>
      <c r="B14" s="5" t="n">
        <f aca="false">2*B6</f>
        <v>14</v>
      </c>
      <c r="C14" s="5" t="n">
        <f aca="false">2*C6</f>
        <v>8</v>
      </c>
      <c r="D14" s="8" t="s">
        <v>66</v>
      </c>
    </row>
    <row r="15" customFormat="false" ht="15" hidden="false" customHeight="false" outlineLevel="0" collapsed="false">
      <c r="A15" s="4" t="s">
        <v>67</v>
      </c>
      <c r="B15" s="5" t="n">
        <f aca="false">2*B6</f>
        <v>14</v>
      </c>
      <c r="C15" s="5" t="n">
        <f aca="false">2*C6</f>
        <v>8</v>
      </c>
      <c r="D15" s="8" t="s">
        <v>68</v>
      </c>
    </row>
    <row r="16" customFormat="false" ht="15" hidden="false" customHeight="false" outlineLevel="0" collapsed="false">
      <c r="A16" s="4" t="s">
        <v>69</v>
      </c>
      <c r="B16" s="5" t="n">
        <f aca="false">4*B5</f>
        <v>24</v>
      </c>
      <c r="C16" s="5" t="n">
        <f aca="false">4*C5</f>
        <v>12</v>
      </c>
      <c r="D16" s="8" t="s">
        <v>70</v>
      </c>
    </row>
    <row r="17" customFormat="false" ht="15" hidden="false" customHeight="false" outlineLevel="0" collapsed="false">
      <c r="A17" s="4" t="s">
        <v>71</v>
      </c>
      <c r="B17" s="5" t="n">
        <f aca="false">4</f>
        <v>4</v>
      </c>
      <c r="C17" s="5" t="n">
        <f aca="false">4</f>
        <v>4</v>
      </c>
      <c r="D17" s="8" t="s">
        <v>62</v>
      </c>
    </row>
    <row r="18" customFormat="false" ht="15" hidden="false" customHeight="false" outlineLevel="0" collapsed="false">
      <c r="A18" s="4" t="s">
        <v>72</v>
      </c>
      <c r="B18" s="13" t="n">
        <f aca="false">B11*Kit!$D$10+B12*Kit!$D$11+B13*Kit!$D$5+B14*Kit!$D$7+B15*Kit!$D$6+B16*Kit!$D$8+B17*Kit!$D$9</f>
        <v>19.1505</v>
      </c>
      <c r="C18" s="13" t="n">
        <f aca="false">C11*Kit!$D$10+C12*Kit!$D$11+C13*Kit!$D$5+C14*Kit!$D$7+C15*Kit!$D$6+C16*Kit!$D$8+C17*Kit!$D$9</f>
        <v>10.8636</v>
      </c>
      <c r="D18" s="8" t="s">
        <v>73</v>
      </c>
    </row>
    <row r="19" customFormat="false" ht="15" hidden="false" customHeight="false" outlineLevel="0" collapsed="false">
      <c r="A19" s="4" t="s">
        <v>74</v>
      </c>
      <c r="B19" s="14" t="n">
        <f aca="false">B11*Kit!$E$10+B12*Kit!$E$11+B13*Kit!$E$5+B14*Kit!$E$7+B15*Kit!$E$6+B16*Kit!$E$8+B17*Kit!$E$9</f>
        <v>351.6538</v>
      </c>
      <c r="C19" s="14" t="n">
        <f aca="false">C11*Kit!$E$10+C12*Kit!$E$11+C13*Kit!$E$5+C14*Kit!$E$7+C15*Kit!$E$6+C16*Kit!$E$8+C17*Kit!$E$9</f>
        <v>199.4116</v>
      </c>
      <c r="D19" s="8" t="s">
        <v>75</v>
      </c>
    </row>
    <row r="20" customFormat="false" ht="15" hidden="false" customHeight="false" outlineLevel="0" collapsed="false">
      <c r="A20" s="4" t="s">
        <v>76</v>
      </c>
      <c r="B20" s="15" t="n">
        <f aca="false">B7*B6/1000</f>
        <v>5.31314</v>
      </c>
      <c r="C20" s="15" t="n">
        <f aca="false">C7*C6/1000</f>
        <v>3.03608</v>
      </c>
      <c r="D20" s="8" t="s">
        <v>77</v>
      </c>
    </row>
    <row r="21" customFormat="false" ht="15" hidden="false" customHeight="false" outlineLevel="0" collapsed="false">
      <c r="A21" s="4" t="s">
        <v>78</v>
      </c>
      <c r="B21" s="15" t="n">
        <f aca="false">B9/B8</f>
        <v>4.46934937946597</v>
      </c>
      <c r="C21" s="15" t="n">
        <f aca="false">C9/C8</f>
        <v>2.35888894858432</v>
      </c>
      <c r="D21" s="8" t="s">
        <v>79</v>
      </c>
    </row>
    <row r="23" customFormat="false" ht="15" hidden="false" customHeight="true" outlineLevel="0" collapsed="false">
      <c r="A23" s="16" t="s">
        <v>80</v>
      </c>
      <c r="B23" s="16"/>
      <c r="C23" s="16"/>
      <c r="D23" s="16"/>
    </row>
    <row r="24" customFormat="false" ht="15" hidden="false" customHeight="false" outlineLevel="0" collapsed="false">
      <c r="A24" s="16"/>
      <c r="B24" s="16"/>
      <c r="C24" s="16"/>
      <c r="D24" s="16"/>
    </row>
  </sheetData>
  <mergeCells count="1">
    <mergeCell ref="A23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4" customFormat="false" ht="15" hidden="false" customHeight="false" outlineLevel="0" collapsed="false">
      <c r="A4" s="3" t="s">
        <v>83</v>
      </c>
      <c r="B4" s="3" t="s">
        <v>84</v>
      </c>
      <c r="C4" s="3" t="s">
        <v>85</v>
      </c>
      <c r="D4" s="3" t="s">
        <v>86</v>
      </c>
      <c r="E4" s="3" t="s">
        <v>87</v>
      </c>
      <c r="F4" s="3" t="s">
        <v>88</v>
      </c>
      <c r="G4" s="3" t="s">
        <v>89</v>
      </c>
      <c r="H4" s="3" t="s">
        <v>90</v>
      </c>
    </row>
    <row r="5" customFormat="false" ht="15" hidden="false" customHeight="false" outlineLevel="0" collapsed="false">
      <c r="A5" s="4" t="s">
        <v>91</v>
      </c>
      <c r="B5" s="17" t="n">
        <v>13350</v>
      </c>
      <c r="C5" s="18" t="s">
        <v>92</v>
      </c>
      <c r="D5" s="19" t="n">
        <f aca="false">INT(B5/Modulos!$B$7)</f>
        <v>17</v>
      </c>
      <c r="E5" s="20" t="n">
        <f aca="false">D5*Modulos!$B$7</f>
        <v>12903.34</v>
      </c>
      <c r="F5" s="20" t="n">
        <f aca="false">B5-E5</f>
        <v>446.66</v>
      </c>
      <c r="G5" s="21" t="n">
        <f aca="false">D5*Modulos!$B$19</f>
        <v>5978.1146</v>
      </c>
      <c r="H5" s="22" t="n">
        <f aca="false">D5*Modulos!$B$20</f>
        <v>90.32338</v>
      </c>
    </row>
    <row r="6" customFormat="false" ht="15" hidden="false" customHeight="false" outlineLevel="0" collapsed="false">
      <c r="A6" s="4" t="s">
        <v>93</v>
      </c>
      <c r="B6" s="17" t="n">
        <v>6100</v>
      </c>
      <c r="C6" s="18" t="s">
        <v>92</v>
      </c>
      <c r="D6" s="19" t="n">
        <f aca="false">INT(B6/Modulos!$B$7)</f>
        <v>8</v>
      </c>
      <c r="E6" s="20" t="n">
        <f aca="false">D6*Modulos!$B$7</f>
        <v>6072.16</v>
      </c>
      <c r="F6" s="20" t="n">
        <f aca="false">B6-E6</f>
        <v>27.8400000000001</v>
      </c>
      <c r="G6" s="21" t="n">
        <f aca="false">D6*Modulos!$B$19</f>
        <v>2813.2304</v>
      </c>
      <c r="H6" s="22" t="n">
        <f aca="false">D6*Modulos!$B$20</f>
        <v>42.50512</v>
      </c>
    </row>
    <row r="7" customFormat="false" ht="15" hidden="false" customHeight="false" outlineLevel="0" collapsed="false">
      <c r="A7" s="4" t="s">
        <v>94</v>
      </c>
      <c r="B7" s="17" t="n">
        <v>6873</v>
      </c>
      <c r="C7" s="18" t="s">
        <v>92</v>
      </c>
      <c r="D7" s="19" t="n">
        <f aca="false">INT(B7/Modulos!$B$7)</f>
        <v>9</v>
      </c>
      <c r="E7" s="20" t="n">
        <f aca="false">D7*Modulos!$B$7</f>
        <v>6831.18</v>
      </c>
      <c r="F7" s="20" t="n">
        <f aca="false">B7-E7</f>
        <v>41.8199999999997</v>
      </c>
      <c r="G7" s="21" t="n">
        <f aca="false">D7*Modulos!$B$19</f>
        <v>3164.8842</v>
      </c>
      <c r="H7" s="22" t="n">
        <f aca="false">D7*Modulos!$B$20</f>
        <v>47.81826</v>
      </c>
    </row>
    <row r="8" customFormat="false" ht="15" hidden="false" customHeight="false" outlineLevel="0" collapsed="false">
      <c r="A8" s="4" t="s">
        <v>95</v>
      </c>
      <c r="B8" s="17" t="n">
        <v>6548</v>
      </c>
      <c r="C8" s="18" t="s">
        <v>92</v>
      </c>
      <c r="D8" s="19" t="n">
        <f aca="false">INT(B8/Modulos!$B$7)</f>
        <v>8</v>
      </c>
      <c r="E8" s="20" t="n">
        <f aca="false">D8*Modulos!$B$7</f>
        <v>6072.16</v>
      </c>
      <c r="F8" s="20" t="n">
        <f aca="false">B8-E8</f>
        <v>475.84</v>
      </c>
      <c r="G8" s="21" t="n">
        <f aca="false">D8*Modulos!$B$19</f>
        <v>2813.2304</v>
      </c>
      <c r="H8" s="22" t="n">
        <f aca="false">D8*Modulos!$B$20</f>
        <v>42.50512</v>
      </c>
    </row>
    <row r="9" customFormat="false" ht="15" hidden="false" customHeight="false" outlineLevel="0" collapsed="false">
      <c r="A9" s="4" t="s">
        <v>96</v>
      </c>
      <c r="B9" s="19"/>
      <c r="C9" s="18" t="s">
        <v>97</v>
      </c>
      <c r="D9" s="17" t="n">
        <v>4</v>
      </c>
      <c r="E9" s="19"/>
      <c r="F9" s="19"/>
      <c r="G9" s="21" t="n">
        <f aca="false">D9*Modulos!$C$19</f>
        <v>797.6464</v>
      </c>
      <c r="H9" s="22" t="n">
        <f aca="false">D9*Modulos!$C$20</f>
        <v>12.14432</v>
      </c>
    </row>
    <row r="10" customFormat="false" ht="15" hidden="false" customHeight="false" outlineLevel="0" collapsed="false">
      <c r="A10" s="4" t="s">
        <v>98</v>
      </c>
      <c r="B10" s="19"/>
      <c r="C10" s="18" t="s">
        <v>97</v>
      </c>
      <c r="D10" s="17" t="n">
        <v>4</v>
      </c>
      <c r="E10" s="19"/>
      <c r="F10" s="19"/>
      <c r="G10" s="21" t="n">
        <f aca="false">D10*Modulos!$C$19</f>
        <v>797.6464</v>
      </c>
      <c r="H10" s="22" t="n">
        <f aca="false">D10*Modulos!$C$20</f>
        <v>12.14432</v>
      </c>
    </row>
    <row r="11" customFormat="false" ht="15" hidden="false" customHeight="false" outlineLevel="0" collapsed="false">
      <c r="A11" s="4" t="s">
        <v>99</v>
      </c>
      <c r="B11" s="19"/>
      <c r="C11" s="18" t="s">
        <v>97</v>
      </c>
      <c r="D11" s="17" t="n">
        <v>6</v>
      </c>
      <c r="E11" s="19"/>
      <c r="F11" s="19"/>
      <c r="G11" s="21" t="n">
        <f aca="false">D11*Modulos!$C$19</f>
        <v>1196.4696</v>
      </c>
      <c r="H11" s="22" t="n">
        <f aca="false">D11*Modulos!$C$20</f>
        <v>18.21648</v>
      </c>
    </row>
    <row r="12" customFormat="false" ht="15" hidden="false" customHeight="false" outlineLevel="0" collapsed="false">
      <c r="A12" s="4" t="s">
        <v>100</v>
      </c>
      <c r="B12" s="19"/>
      <c r="C12" s="19"/>
      <c r="D12" s="4" t="n">
        <f aca="false">SUM(D5:D11)</f>
        <v>56</v>
      </c>
      <c r="E12" s="19"/>
      <c r="F12" s="19"/>
      <c r="G12" s="23" t="n">
        <f aca="false">SUM(G5:G11)</f>
        <v>17561.222</v>
      </c>
      <c r="H12" s="24" t="n">
        <f aca="false">SUM(H5:H11)</f>
        <v>265.657</v>
      </c>
    </row>
    <row r="14" customFormat="false" ht="15" hidden="false" customHeight="false" outlineLevel="0" collapsed="false">
      <c r="A14" s="9" t="s">
        <v>101</v>
      </c>
    </row>
    <row r="15" customFormat="false" ht="15" hidden="false" customHeight="false" outlineLevel="0" collapsed="false">
      <c r="A15" s="3" t="s">
        <v>2</v>
      </c>
      <c r="B15" s="3" t="s">
        <v>86</v>
      </c>
      <c r="C15" s="3" t="s">
        <v>102</v>
      </c>
      <c r="D15" s="3" t="s">
        <v>103</v>
      </c>
    </row>
    <row r="16" customFormat="false" ht="15" hidden="false" customHeight="false" outlineLevel="0" collapsed="false">
      <c r="A16" s="4" t="s">
        <v>26</v>
      </c>
      <c r="B16" s="20" t="n">
        <f aca="false">SUMIF($C$5:$C$11,"ALTO",$D$5:$D$11)*Modulos!$B$11+SUMIF($C$5:$C$11,"BAIXO",$D$5:$D$11)*Modulos!$C$11</f>
        <v>1400</v>
      </c>
      <c r="C16" s="25" t="n">
        <f aca="false">B16*Kit!$D$10</f>
        <v>62.02</v>
      </c>
      <c r="D16" s="21" t="n">
        <f aca="false">B16*Kit!$E$10</f>
        <v>542.5</v>
      </c>
    </row>
    <row r="17" customFormat="false" ht="15" hidden="false" customHeight="false" outlineLevel="0" collapsed="false">
      <c r="A17" s="4" t="s">
        <v>30</v>
      </c>
      <c r="B17" s="20" t="n">
        <f aca="false">SUMIF($C$5:$C$11,"ALTO",$D$5:$D$11)*Modulos!$B$12+SUMIF($C$5:$C$11,"BAIXO",$D$5:$D$11)*Modulos!$C$12</f>
        <v>224</v>
      </c>
      <c r="C17" s="25" t="n">
        <f aca="false">B17*Kit!$D$11</f>
        <v>0.2464</v>
      </c>
      <c r="D17" s="21" t="n">
        <f aca="false">B17*Kit!$E$11</f>
        <v>2.1728</v>
      </c>
    </row>
    <row r="18" customFormat="false" ht="15" hidden="false" customHeight="false" outlineLevel="0" collapsed="false">
      <c r="A18" s="4" t="s">
        <v>104</v>
      </c>
      <c r="B18" s="20" t="n">
        <f aca="false">SUMIF($C$5:$C$11,"ALTO",$D$5:$D$11)*Modulos!$B$13+SUMIF($C$5:$C$11,"BAIXO",$D$5:$D$11)*Modulos!$C$13</f>
        <v>350</v>
      </c>
      <c r="C18" s="25" t="n">
        <f aca="false">B18*Kit!$D$5</f>
        <v>660.275</v>
      </c>
      <c r="D18" s="21" t="n">
        <f aca="false">B18*Kit!$E$5</f>
        <v>12565.07</v>
      </c>
    </row>
    <row r="19" customFormat="false" ht="15" hidden="false" customHeight="false" outlineLevel="0" collapsed="false">
      <c r="A19" s="4" t="s">
        <v>105</v>
      </c>
      <c r="B19" s="20" t="n">
        <f aca="false">SUMIF($C$5:$C$11,"ALTO",$D$5:$D$11)*Modulos!$B$14+SUMIF($C$5:$C$11,"BAIXO",$D$5:$D$11)*Modulos!$C$14</f>
        <v>700</v>
      </c>
      <c r="C19" s="25" t="n">
        <f aca="false">B19*Kit!$D$7</f>
        <v>113.54</v>
      </c>
      <c r="D19" s="21" t="n">
        <f aca="false">B19*Kit!$E$7</f>
        <v>2161.25</v>
      </c>
    </row>
    <row r="20" customFormat="false" ht="15" hidden="false" customHeight="false" outlineLevel="0" collapsed="false">
      <c r="A20" s="4" t="s">
        <v>106</v>
      </c>
      <c r="B20" s="20" t="n">
        <f aca="false">SUMIF($C$5:$C$11,"ALTO",$D$5:$D$11)*Modulos!$B$15+SUMIF($C$5:$C$11,"BAIXO",$D$5:$D$11)*Modulos!$C$15</f>
        <v>700</v>
      </c>
      <c r="C20" s="25" t="n">
        <f aca="false">B20*Kit!$D$6</f>
        <v>45.43</v>
      </c>
      <c r="D20" s="21" t="n">
        <f aca="false">B20*Kit!$E$6</f>
        <v>865.13</v>
      </c>
    </row>
    <row r="21" customFormat="false" ht="15" hidden="false" customHeight="false" outlineLevel="0" collapsed="false">
      <c r="A21" s="4" t="s">
        <v>107</v>
      </c>
      <c r="B21" s="20" t="n">
        <f aca="false">SUMIF($C$5:$C$11,"ALTO",$D$5:$D$11)*Modulos!$B$16+SUMIF($C$5:$C$11,"BAIXO",$D$5:$D$11)*Modulos!$C$16</f>
        <v>1176</v>
      </c>
      <c r="C21" s="25" t="n">
        <f aca="false">B21*Kit!$D$8</f>
        <v>71.8536</v>
      </c>
      <c r="D21" s="21" t="n">
        <f aca="false">B21*Kit!$E$8</f>
        <v>1367.2176</v>
      </c>
    </row>
    <row r="22" customFormat="false" ht="15" hidden="false" customHeight="false" outlineLevel="0" collapsed="false">
      <c r="A22" s="4" t="s">
        <v>22</v>
      </c>
      <c r="B22" s="20" t="n">
        <f aca="false">SUMIF($C$5:$C$11,"ALTO",$D$5:$D$11)*Modulos!$B$17+SUMIF($C$5:$C$11,"BAIXO",$D$5:$D$11)*Modulos!$C$17</f>
        <v>224</v>
      </c>
      <c r="C22" s="25" t="n">
        <f aca="false">B22*Kit!$D$9</f>
        <v>3.0464</v>
      </c>
      <c r="D22" s="21" t="n">
        <f aca="false">B22*Kit!$E$9</f>
        <v>57.8816</v>
      </c>
    </row>
    <row r="23" customFormat="false" ht="15" hidden="false" customHeight="false" outlineLevel="0" collapsed="false">
      <c r="A23" s="9" t="s">
        <v>108</v>
      </c>
      <c r="B23" s="9" t="n">
        <v>0</v>
      </c>
      <c r="C23" s="2" t="s">
        <v>109</v>
      </c>
    </row>
    <row r="25" customFormat="false" ht="15" hidden="false" customHeight="true" outlineLevel="0" collapsed="false">
      <c r="A25" s="16" t="s">
        <v>110</v>
      </c>
      <c r="B25" s="16"/>
      <c r="C25" s="16"/>
      <c r="D25" s="16"/>
      <c r="E25" s="16"/>
      <c r="F25" s="16"/>
      <c r="G25" s="16"/>
      <c r="H25" s="16"/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6"/>
      <c r="G26" s="16"/>
      <c r="H26" s="16"/>
    </row>
  </sheetData>
  <mergeCells count="1">
    <mergeCell ref="A25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9" t="s">
        <v>111</v>
      </c>
    </row>
    <row r="4" customFormat="false" ht="15" hidden="false" customHeight="false" outlineLevel="0" collapsed="false">
      <c r="A4" s="3" t="s">
        <v>112</v>
      </c>
      <c r="B4" s="3" t="s">
        <v>113</v>
      </c>
      <c r="C4" s="3" t="s">
        <v>114</v>
      </c>
    </row>
    <row r="5" customFormat="false" ht="15" hidden="false" customHeight="false" outlineLevel="0" collapsed="false">
      <c r="A5" s="5" t="s">
        <v>115</v>
      </c>
      <c r="B5" s="4" t="s">
        <v>116</v>
      </c>
      <c r="C5" s="26" t="n">
        <v>40.6</v>
      </c>
    </row>
    <row r="6" customFormat="false" ht="15" hidden="false" customHeight="false" outlineLevel="0" collapsed="false">
      <c r="A6" s="5" t="s">
        <v>117</v>
      </c>
      <c r="B6" s="4" t="s">
        <v>118</v>
      </c>
      <c r="C6" s="26" t="n">
        <v>61.61</v>
      </c>
    </row>
    <row r="7" customFormat="false" ht="15" hidden="false" customHeight="false" outlineLevel="0" collapsed="false">
      <c r="A7" s="5" t="s">
        <v>119</v>
      </c>
      <c r="B7" s="4" t="s">
        <v>120</v>
      </c>
      <c r="C7" s="26" t="n">
        <v>101.3</v>
      </c>
    </row>
    <row r="8" customFormat="false" ht="15" hidden="false" customHeight="false" outlineLevel="0" collapsed="false">
      <c r="A8" s="5" t="s">
        <v>121</v>
      </c>
      <c r="B8" s="4" t="s">
        <v>122</v>
      </c>
      <c r="C8" s="26" t="n">
        <v>83.23</v>
      </c>
    </row>
    <row r="9" customFormat="false" ht="15" hidden="false" customHeight="false" outlineLevel="0" collapsed="false">
      <c r="A9" s="5" t="s">
        <v>123</v>
      </c>
      <c r="B9" s="4" t="s">
        <v>124</v>
      </c>
      <c r="C9" s="26" t="n">
        <v>73.08</v>
      </c>
    </row>
    <row r="10" customFormat="false" ht="15" hidden="false" customHeight="false" outlineLevel="0" collapsed="false">
      <c r="A10" s="5" t="s">
        <v>125</v>
      </c>
      <c r="B10" s="4" t="s">
        <v>126</v>
      </c>
      <c r="C10" s="26" t="n">
        <v>21.92</v>
      </c>
    </row>
    <row r="11" customFormat="false" ht="15" hidden="false" customHeight="false" outlineLevel="0" collapsed="false">
      <c r="A11" s="5" t="s">
        <v>127</v>
      </c>
      <c r="B11" s="4" t="s">
        <v>128</v>
      </c>
      <c r="C11" s="26" t="n">
        <v>19.4</v>
      </c>
    </row>
    <row r="12" customFormat="false" ht="15" hidden="false" customHeight="false" outlineLevel="0" collapsed="false">
      <c r="A12" s="5" t="s">
        <v>129</v>
      </c>
      <c r="B12" s="4" t="s">
        <v>130</v>
      </c>
      <c r="C12" s="17" t="n">
        <v>15</v>
      </c>
    </row>
    <row r="13" customFormat="false" ht="15" hidden="false" customHeight="false" outlineLevel="0" collapsed="false">
      <c r="A13" s="5" t="s">
        <v>131</v>
      </c>
      <c r="B13" s="4" t="s">
        <v>132</v>
      </c>
      <c r="C13" s="5" t="n">
        <f aca="false">2*C5</f>
        <v>81.2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2026-09-09T17:15:27Z</dcterms:created>
  <dc:creator>openpyxl</dc:creator>
  <dc:description/>
  <dc:language>en-US</dc:language>
  <cp:lastModifiedBy/>
  <dcterms:modified xsi:type="dcterms:W3CDTF">2026-09-09T17:15:27Z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