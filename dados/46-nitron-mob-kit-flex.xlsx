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t" sheetId="1" state="visible" r:id="rId3"/>
    <sheet name="Modulos" sheetId="2" state="visible" r:id="rId4"/>
    <sheet name="Showroom" sheetId="3" state="visible" r:id="rId5"/>
    <sheet name="Parametros" sheetId="4" state="visible" r:id="rId6"/>
  </sheets>
  <definedNames>
    <definedName function="false" hidden="true" localSheetId="1" name="_xlnm._FilterDatabase" vbProcedure="false">Modulos!$A$4:$AD$49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<sst xmlns="http://schemas.openxmlformats.org/spreadsheetml/2006/main" count="349" uniqueCount="190">
  <si>
    <t xml:space="preserve">Nitron Mob PDV — kit flexível</t>
  </si>
  <si>
    <t xml:space="preserve">13 peças: 3 painéis, 6 ripas (todas PI existentes), 4 conectores. Custo unitário em amarelo é entrada; a madeira usa R$ 19.03/kg do caderno.</t>
  </si>
  <si>
    <t xml:space="preserve">Peça</t>
  </si>
  <si>
    <t xml:space="preserve">Código</t>
  </si>
  <si>
    <t xml:space="preserve">Medida (mm)</t>
  </si>
  <si>
    <t xml:space="preserve">Massa unit. (kg)</t>
  </si>
  <si>
    <t xml:space="preserve">Custo unit. (R$)</t>
  </si>
  <si>
    <t xml:space="preserve">Papel</t>
  </si>
  <si>
    <t xml:space="preserve">Painel 300×450</t>
  </si>
  <si>
    <t xml:space="preserve">novo · pinus 15</t>
  </si>
  <si>
    <t xml:space="preserve">300 × 450</t>
  </si>
  <si>
    <t xml:space="preserve">prateleira rasa curta — ponta, canto, caixa–pilar</t>
  </si>
  <si>
    <t xml:space="preserve">Painel 300×754</t>
  </si>
  <si>
    <t xml:space="preserve">300 × 754</t>
  </si>
  <si>
    <t xml:space="preserve">prateleira rasa padrão — 82% dos SKUs cabem</t>
  </si>
  <si>
    <t xml:space="preserve">Painel 460×754</t>
  </si>
  <si>
    <t xml:space="preserve">460 × 754</t>
  </si>
  <si>
    <t xml:space="preserve">prateleira funda — lixeira, cesto, caixa grande, e a parede mais estável</t>
  </si>
  <si>
    <t xml:space="preserve">Ripa largura 287</t>
  </si>
  <si>
    <t xml:space="preserve">BLA-03-AC</t>
  </si>
  <si>
    <t xml:space="preserve">287</t>
  </si>
  <si>
    <t xml:space="preserve">profundidade 372</t>
  </si>
  <si>
    <t xml:space="preserve">Ripa largura 415</t>
  </si>
  <si>
    <t xml:space="preserve">PSC-02</t>
  </si>
  <si>
    <t xml:space="preserve">415</t>
  </si>
  <si>
    <t xml:space="preserve">profundidade 500 (a mesma PI serve de vão 450)</t>
  </si>
  <si>
    <t xml:space="preserve">Ripa comprimento 415</t>
  </si>
  <si>
    <t xml:space="preserve">vão de 450</t>
  </si>
  <si>
    <t xml:space="preserve">Ripa comprimento 717</t>
  </si>
  <si>
    <t xml:space="preserve">PSC-04</t>
  </si>
  <si>
    <t xml:space="preserve">717</t>
  </si>
  <si>
    <t xml:space="preserve">vão de 754</t>
  </si>
  <si>
    <t xml:space="preserve">Ripa vertical 270</t>
  </si>
  <si>
    <t xml:space="preserve">BAL-02-AC</t>
  </si>
  <si>
    <t xml:space="preserve">270</t>
  </si>
  <si>
    <t xml:space="preserve">baia de 247 livres</t>
  </si>
  <si>
    <t xml:space="preserve">Ripa vertical 513</t>
  </si>
  <si>
    <t xml:space="preserve">PSA-05</t>
  </si>
  <si>
    <t xml:space="preserve">513</t>
  </si>
  <si>
    <t xml:space="preserve">baia de 490 livres — e a coroa da arara</t>
  </si>
  <si>
    <t xml:space="preserve">Pé</t>
  </si>
  <si>
    <t xml:space="preserve">sobra de ripa</t>
  </si>
  <si>
    <t xml:space="preserve">60</t>
  </si>
  <si>
    <t xml:space="preserve">Trizeta</t>
  </si>
  <si>
    <t xml:space="preserve">PP · molde existe</t>
  </si>
  <si>
    <t xml:space="preserve">—</t>
  </si>
  <si>
    <t xml:space="preserve">canto de cada nível</t>
  </si>
  <si>
    <t xml:space="preserve">Cruzeta</t>
  </si>
  <si>
    <t xml:space="preserve">PP · 4 injetadas</t>
  </si>
  <si>
    <t xml:space="preserve">só quando dois vãos dividem um poste (N ≥ 2)</t>
  </si>
  <si>
    <t xml:space="preserve">Peça L</t>
  </si>
  <si>
    <t xml:space="preserve">coroa — só no módulo arara</t>
  </si>
  <si>
    <t xml:space="preserve">Tampa</t>
  </si>
  <si>
    <t xml:space="preserve">uma por poste</t>
  </si>
  <si>
    <t xml:space="preserve">Saem: painel de 200 (56,8% da curva, e é o que empena), painéis 200×634/754, 300×360, 460×360 e 460×450 (a regra da proporção 1,3–2,6), ripas PSC-01 (315) e PSC-03 (595), porta-haste.</t>
  </si>
  <si>
    <t xml:space="preserve">Os 45 módulos padrão — 3 footprints × 3 larguras (N vãos) × 5 pilhas</t>
  </si>
  <si>
    <t xml:space="preserve">N = 1 é módulo autônomo (quatro postes próprios, zero cruzeta, dois adultos carregam). N = 2 e 3 dividem poste (cruzeta) e são para parede fixa. Filtre pela linha 4.</t>
  </si>
  <si>
    <t xml:space="preserve">ID</t>
  </si>
  <si>
    <t xml:space="preserve">Painel</t>
  </si>
  <si>
    <t xml:space="preserve">Ripa largura</t>
  </si>
  <si>
    <t xml:space="preserve">Ripa comprimento</t>
  </si>
  <si>
    <t xml:space="preserve">N vãos</t>
  </si>
  <si>
    <t xml:space="preserve">Pilha</t>
  </si>
  <si>
    <t xml:space="preserve">n 270</t>
  </si>
  <si>
    <t xml:space="preserve">n 513</t>
  </si>
  <si>
    <t xml:space="preserve">Coroa (mm)</t>
  </si>
  <si>
    <t xml:space="preserve">Prateleiras</t>
  </si>
  <si>
    <t xml:space="preserve">Comprimento (mm)</t>
  </si>
  <si>
    <t xml:space="preserve">Comprimento c/ coroa (mm)</t>
  </si>
  <si>
    <t xml:space="preserve">Profundidade (mm)</t>
  </si>
  <si>
    <t xml:space="preserve">Altura (mm)</t>
  </si>
  <si>
    <t xml:space="preserve">Face da última prat. (mm)</t>
  </si>
  <si>
    <t xml:space="preserve">Trizetas</t>
  </si>
  <si>
    <t xml:space="preserve">Cruzetas</t>
  </si>
  <si>
    <t xml:space="preserve">Peças L</t>
  </si>
  <si>
    <t xml:space="preserve">Tampas</t>
  </si>
  <si>
    <t xml:space="preserve">Painéis</t>
  </si>
  <si>
    <t xml:space="preserve">Ripas compr.</t>
  </si>
  <si>
    <t xml:space="preserve">Ripas larg.</t>
  </si>
  <si>
    <t xml:space="preserve">Ripas 270</t>
  </si>
  <si>
    <t xml:space="preserve">Ripas 513</t>
  </si>
  <si>
    <t xml:space="preserve">Pés</t>
  </si>
  <si>
    <t xml:space="preserve">Massa (kg)</t>
  </si>
  <si>
    <t xml:space="preserve">Custo material (R$)</t>
  </si>
  <si>
    <t xml:space="preserve">Frente linear (m)</t>
  </si>
  <si>
    <t xml:space="preserve">Altura ÷ prof.</t>
  </si>
  <si>
    <t xml:space="preserve">Uso</t>
  </si>
  <si>
    <t xml:space="preserve">300×450-1-baixo</t>
  </si>
  <si>
    <t xml:space="preserve">300×450</t>
  </si>
  <si>
    <t xml:space="preserve">baixo · 270×3</t>
  </si>
  <si>
    <t xml:space="preserve">ilha, checkout, mesa de demonstração — vê-se por cima</t>
  </si>
  <si>
    <t xml:space="preserve">300×450-1-médio</t>
  </si>
  <si>
    <t xml:space="preserve">médio · 270×5</t>
  </si>
  <si>
    <t xml:space="preserve">gôndola de miolo, ponta</t>
  </si>
  <si>
    <t xml:space="preserve">300×450-1-alto</t>
  </si>
  <si>
    <t xml:space="preserve">alto · 270×6</t>
  </si>
  <si>
    <t xml:space="preserve">parede: duas prateleiras na zona dos olhos</t>
  </si>
  <si>
    <t xml:space="preserve">300×450-1-alto-fundo</t>
  </si>
  <si>
    <t xml:space="preserve">alto-fundo · 513·513·270·270</t>
  </si>
  <si>
    <t xml:space="preserve">parede de banho/lavanderia: vão de 490 embaixo para lixeira e cesto</t>
  </si>
  <si>
    <t xml:space="preserve">300×450-1-arara</t>
  </si>
  <si>
    <t xml:space="preserve">arara · 513·513 + coroa 513</t>
  </si>
  <si>
    <t xml:space="preserve">arara e gancheira: a peça L fecha o topo sem prateleira</t>
  </si>
  <si>
    <t xml:space="preserve">300×450-2-baixo</t>
  </si>
  <si>
    <t xml:space="preserve">300×450-2-médio</t>
  </si>
  <si>
    <t xml:space="preserve">300×450-2-alto</t>
  </si>
  <si>
    <t xml:space="preserve">300×450-2-alto-fundo</t>
  </si>
  <si>
    <t xml:space="preserve">300×450-2-arara</t>
  </si>
  <si>
    <t xml:space="preserve">300×450-3-baixo</t>
  </si>
  <si>
    <t xml:space="preserve">300×450-3-médio</t>
  </si>
  <si>
    <t xml:space="preserve">300×450-3-alto</t>
  </si>
  <si>
    <t xml:space="preserve">300×450-3-alto-fundo</t>
  </si>
  <si>
    <t xml:space="preserve">300×450-3-arara</t>
  </si>
  <si>
    <t xml:space="preserve">300×754-1-baixo</t>
  </si>
  <si>
    <t xml:space="preserve">300×754</t>
  </si>
  <si>
    <t xml:space="preserve">300×754-1-médio</t>
  </si>
  <si>
    <t xml:space="preserve">300×754-1-alto</t>
  </si>
  <si>
    <t xml:space="preserve">300×754-1-alto-fundo</t>
  </si>
  <si>
    <t xml:space="preserve">300×754-1-arara</t>
  </si>
  <si>
    <t xml:space="preserve">300×754-2-baixo</t>
  </si>
  <si>
    <t xml:space="preserve">300×754-2-médio</t>
  </si>
  <si>
    <t xml:space="preserve">300×754-2-alto</t>
  </si>
  <si>
    <t xml:space="preserve">300×754-2-alto-fundo</t>
  </si>
  <si>
    <t xml:space="preserve">300×754-2-arara</t>
  </si>
  <si>
    <t xml:space="preserve">300×754-3-baixo</t>
  </si>
  <si>
    <t xml:space="preserve">300×754-3-médio</t>
  </si>
  <si>
    <t xml:space="preserve">300×754-3-alto</t>
  </si>
  <si>
    <t xml:space="preserve">300×754-3-alto-fundo</t>
  </si>
  <si>
    <t xml:space="preserve">300×754-3-arara</t>
  </si>
  <si>
    <t xml:space="preserve">460×754-1-baixo</t>
  </si>
  <si>
    <t xml:space="preserve">460×754</t>
  </si>
  <si>
    <t xml:space="preserve">460×754-1-médio</t>
  </si>
  <si>
    <t xml:space="preserve">460×754-1-alto</t>
  </si>
  <si>
    <t xml:space="preserve">460×754-1-alto-fundo</t>
  </si>
  <si>
    <t xml:space="preserve">460×754-1-arara</t>
  </si>
  <si>
    <t xml:space="preserve">460×754-2-baixo</t>
  </si>
  <si>
    <t xml:space="preserve">460×754-2-médio</t>
  </si>
  <si>
    <t xml:space="preserve">460×754-2-alto</t>
  </si>
  <si>
    <t xml:space="preserve">460×754-2-alto-fundo</t>
  </si>
  <si>
    <t xml:space="preserve">460×754-2-arara</t>
  </si>
  <si>
    <t xml:space="preserve">460×754-3-baixo</t>
  </si>
  <si>
    <t xml:space="preserve">460×754-3-médio</t>
  </si>
  <si>
    <t xml:space="preserve">460×754-3-alto</t>
  </si>
  <si>
    <t xml:space="preserve">460×754-3-alto-fundo</t>
  </si>
  <si>
    <t xml:space="preserve">460×754-3-arara</t>
  </si>
  <si>
    <t xml:space="preserve">Linhas cinza (N = 1): módulos autônomos, sem cruzeta — os que o showroom pode montar hoje. Arara não conta prateleira: os 3 níveis são a base e a coroa. Custo é só material; sem corte, montagem, embalagem, frete. Módulo contra parede não leva fundo.</t>
  </si>
  <si>
    <t xml:space="preserve">Montagem sugerida do showroom só com módulos N = 1 (zero cruzeta)</t>
  </si>
  <si>
    <t xml:space="preserve">Escolha o ID na coluna B (lista da aba Modulos) e a quantidade; o resto é fórmula. Quando a cruzeta existir, troque paredes fixas por N = 3 e a conta se refaz.</t>
  </si>
  <si>
    <t xml:space="preserve">Onde</t>
  </si>
  <si>
    <t xml:space="preserve">ID do módulo</t>
  </si>
  <si>
    <t xml:space="preserve">Qtd</t>
  </si>
  <si>
    <t xml:space="preserve">Comprimento montado (mm)</t>
  </si>
  <si>
    <t xml:space="preserve">Corrida livre (mm)</t>
  </si>
  <si>
    <t xml:space="preserve">Folga (mm)</t>
  </si>
  <si>
    <t xml:space="preserve">Custo (R$)</t>
  </si>
  <si>
    <t xml:space="preserve">Frente (m)</t>
  </si>
  <si>
    <t xml:space="preserve">Paredão sul · cozinha</t>
  </si>
  <si>
    <t xml:space="preserve">Paredão norte · organização</t>
  </si>
  <si>
    <t xml:space="preserve">Paredão do fundo · banho e lavanderia</t>
  </si>
  <si>
    <t xml:space="preserve">Parede de entrada · frasqueiras</t>
  </si>
  <si>
    <t xml:space="preserve">Folga caixa–pilar</t>
  </si>
  <si>
    <t xml:space="preserve">Ilha 1 · 2 × 2 costa a costa</t>
  </si>
  <si>
    <t xml:space="preserve">Ilha 2 · 2 × 2 costa a costa</t>
  </si>
  <si>
    <t xml:space="preserve">Corredor de checkout · 2 lados × 3</t>
  </si>
  <si>
    <t xml:space="preserve">Arara Nitron-Mob no miolo</t>
  </si>
  <si>
    <t xml:space="preserve">TOTAL</t>
  </si>
  <si>
    <t xml:space="preserve">Peças a comprar / injetar</t>
  </si>
  <si>
    <t xml:space="preserve">Quantidade</t>
  </si>
  <si>
    <t xml:space="preserve">Cotas do sistema — amarelo = medido na malha STL, ainda sem trena</t>
  </si>
  <si>
    <t xml:space="preserve">Parâmetro</t>
  </si>
  <si>
    <t xml:space="preserve">Símbolo</t>
  </si>
  <si>
    <t xml:space="preserve">Valor (mm)</t>
  </si>
  <si>
    <t xml:space="preserve">Encaixe</t>
  </si>
  <si>
    <t xml:space="preserve">ENC</t>
  </si>
  <si>
    <t xml:space="preserve">Trizeta · comprimento</t>
  </si>
  <si>
    <t xml:space="preserve">NOX</t>
  </si>
  <si>
    <t xml:space="preserve">Cruzeta · comprimento</t>
  </si>
  <si>
    <t xml:space="preserve">NOXC</t>
  </si>
  <si>
    <t xml:space="preserve">Trizeta · profundidade</t>
  </si>
  <si>
    <t xml:space="preserve">NOY</t>
  </si>
  <si>
    <t xml:space="preserve">Trizeta · vertical</t>
  </si>
  <si>
    <t xml:space="preserve">NOZ</t>
  </si>
  <si>
    <t xml:space="preserve">Peça L · sobra por lado</t>
  </si>
  <si>
    <t xml:space="preserve">NOL</t>
  </si>
  <si>
    <t xml:space="preserve">Pé exposto</t>
  </si>
  <si>
    <t xml:space="preserve">PE</t>
  </si>
  <si>
    <t xml:space="preserve">Espessura do painel</t>
  </si>
  <si>
    <t xml:space="preserve">PANT</t>
  </si>
  <si>
    <t xml:space="preserve">Ripa consome</t>
  </si>
  <si>
    <t xml:space="preserve">CONSOME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</si>
</sst>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&quot;R$ &quot;0.0000"/>
    <numFmt numFmtId="167" formatCode="General"/>
    <numFmt numFmtId="168" formatCode="#,##0"/>
    <numFmt numFmtId="169" formatCode="0.0"/>
    <numFmt numFmtId="170" formatCode="&quot;R$ &quot;#,##0.00"/>
    <numFmt numFmtId="171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A7AC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A7A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1EA7A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6" t="n">
        <v>1.1259</v>
      </c>
      <c r="E5" s="7" t="n">
        <v>21.4259</v>
      </c>
      <c r="F5" s="8" t="s">
        <v>11</v>
      </c>
    </row>
    <row r="6" customFormat="false" ht="15" hidden="false" customHeight="false" outlineLevel="0" collapsed="false">
      <c r="A6" s="4" t="s">
        <v>12</v>
      </c>
      <c r="B6" s="5" t="s">
        <v>9</v>
      </c>
      <c r="C6" s="5" t="s">
        <v>13</v>
      </c>
      <c r="D6" s="6" t="n">
        <v>1.8865</v>
      </c>
      <c r="E6" s="7" t="n">
        <v>35.9002</v>
      </c>
      <c r="F6" s="8" t="s">
        <v>14</v>
      </c>
    </row>
    <row r="7" customFormat="false" ht="15" hidden="false" customHeight="false" outlineLevel="0" collapsed="false">
      <c r="A7" s="4" t="s">
        <v>15</v>
      </c>
      <c r="B7" s="5" t="s">
        <v>9</v>
      </c>
      <c r="C7" s="5" t="s">
        <v>16</v>
      </c>
      <c r="D7" s="6" t="n">
        <v>2.8926</v>
      </c>
      <c r="E7" s="7" t="n">
        <v>55.047</v>
      </c>
      <c r="F7" s="8" t="s">
        <v>17</v>
      </c>
    </row>
    <row r="8" customFormat="false" ht="15" hidden="false" customHeight="false" outlineLevel="0" collapsed="false">
      <c r="A8" s="4" t="s">
        <v>18</v>
      </c>
      <c r="B8" s="5" t="s">
        <v>19</v>
      </c>
      <c r="C8" s="5" t="s">
        <v>20</v>
      </c>
      <c r="D8" s="6" t="n">
        <v>0.0649</v>
      </c>
      <c r="E8" s="7" t="n">
        <v>1.2359</v>
      </c>
      <c r="F8" s="8" t="s">
        <v>21</v>
      </c>
    </row>
    <row r="9" customFormat="false" ht="15" hidden="false" customHeight="false" outlineLevel="0" collapsed="false">
      <c r="A9" s="4" t="s">
        <v>22</v>
      </c>
      <c r="B9" s="5" t="s">
        <v>23</v>
      </c>
      <c r="C9" s="5" t="s">
        <v>24</v>
      </c>
      <c r="D9" s="6" t="n">
        <v>0.0939</v>
      </c>
      <c r="E9" s="7" t="n">
        <v>1.787</v>
      </c>
      <c r="F9" s="8" t="s">
        <v>25</v>
      </c>
    </row>
    <row r="10" customFormat="false" ht="15" hidden="false" customHeight="false" outlineLevel="0" collapsed="false">
      <c r="A10" s="4" t="s">
        <v>26</v>
      </c>
      <c r="B10" s="5" t="s">
        <v>23</v>
      </c>
      <c r="C10" s="5" t="s">
        <v>24</v>
      </c>
      <c r="D10" s="6" t="n">
        <v>0.0939</v>
      </c>
      <c r="E10" s="7" t="n">
        <v>1.787</v>
      </c>
      <c r="F10" s="8" t="s">
        <v>27</v>
      </c>
    </row>
    <row r="11" customFormat="false" ht="15" hidden="false" customHeight="false" outlineLevel="0" collapsed="false">
      <c r="A11" s="4" t="s">
        <v>28</v>
      </c>
      <c r="B11" s="5" t="s">
        <v>29</v>
      </c>
      <c r="C11" s="5" t="s">
        <v>30</v>
      </c>
      <c r="D11" s="6" t="n">
        <v>0.1622</v>
      </c>
      <c r="E11" s="7" t="n">
        <v>3.0875</v>
      </c>
      <c r="F11" s="8" t="s">
        <v>31</v>
      </c>
    </row>
    <row r="12" customFormat="false" ht="15" hidden="false" customHeight="false" outlineLevel="0" collapsed="false">
      <c r="A12" s="4" t="s">
        <v>32</v>
      </c>
      <c r="B12" s="5" t="s">
        <v>33</v>
      </c>
      <c r="C12" s="5" t="s">
        <v>34</v>
      </c>
      <c r="D12" s="6" t="n">
        <v>0.0611</v>
      </c>
      <c r="E12" s="7" t="n">
        <v>1.1626</v>
      </c>
      <c r="F12" s="8" t="s">
        <v>35</v>
      </c>
    </row>
    <row r="13" customFormat="false" ht="15" hidden="false" customHeight="false" outlineLevel="0" collapsed="false">
      <c r="A13" s="4" t="s">
        <v>36</v>
      </c>
      <c r="B13" s="5" t="s">
        <v>37</v>
      </c>
      <c r="C13" s="5" t="s">
        <v>38</v>
      </c>
      <c r="D13" s="6" t="n">
        <v>0.1161</v>
      </c>
      <c r="E13" s="7" t="n">
        <v>2.209</v>
      </c>
      <c r="F13" s="8" t="s">
        <v>39</v>
      </c>
    </row>
    <row r="14" customFormat="false" ht="15" hidden="false" customHeight="false" outlineLevel="0" collapsed="false">
      <c r="A14" s="4" t="s">
        <v>40</v>
      </c>
      <c r="B14" s="5" t="s">
        <v>41</v>
      </c>
      <c r="C14" s="5" t="s">
        <v>42</v>
      </c>
      <c r="D14" s="6" t="n">
        <v>0.0136</v>
      </c>
      <c r="E14" s="7" t="n">
        <v>0.2584</v>
      </c>
      <c r="F14" s="8"/>
    </row>
    <row r="15" customFormat="false" ht="15" hidden="false" customHeight="false" outlineLevel="0" collapsed="false">
      <c r="A15" s="4" t="s">
        <v>43</v>
      </c>
      <c r="B15" s="5" t="s">
        <v>44</v>
      </c>
      <c r="C15" s="5" t="s">
        <v>45</v>
      </c>
      <c r="D15" s="6" t="n">
        <v>0.0443</v>
      </c>
      <c r="E15" s="7" t="n">
        <v>0.3875</v>
      </c>
      <c r="F15" s="8" t="s">
        <v>46</v>
      </c>
    </row>
    <row r="16" customFormat="false" ht="15" hidden="false" customHeight="false" outlineLevel="0" collapsed="false">
      <c r="A16" s="4" t="s">
        <v>47</v>
      </c>
      <c r="B16" s="5" t="s">
        <v>48</v>
      </c>
      <c r="C16" s="5" t="s">
        <v>45</v>
      </c>
      <c r="D16" s="6" t="n">
        <v>0.0566</v>
      </c>
      <c r="E16" s="7" t="n">
        <v>0.4951</v>
      </c>
      <c r="F16" s="8" t="s">
        <v>49</v>
      </c>
    </row>
    <row r="17" customFormat="false" ht="15" hidden="false" customHeight="false" outlineLevel="0" collapsed="false">
      <c r="A17" s="4" t="s">
        <v>50</v>
      </c>
      <c r="B17" s="5" t="s">
        <v>44</v>
      </c>
      <c r="C17" s="5" t="s">
        <v>45</v>
      </c>
      <c r="D17" s="6" t="n">
        <v>0.032</v>
      </c>
      <c r="E17" s="7" t="n">
        <v>0.3003</v>
      </c>
      <c r="F17" s="8" t="s">
        <v>51</v>
      </c>
    </row>
    <row r="18" customFormat="false" ht="15" hidden="false" customHeight="false" outlineLevel="0" collapsed="false">
      <c r="A18" s="4" t="s">
        <v>52</v>
      </c>
      <c r="B18" s="5" t="s">
        <v>44</v>
      </c>
      <c r="C18" s="5" t="s">
        <v>45</v>
      </c>
      <c r="D18" s="6" t="n">
        <v>0.0011</v>
      </c>
      <c r="E18" s="7" t="n">
        <v>0.0097</v>
      </c>
      <c r="F18" s="8" t="s">
        <v>53</v>
      </c>
    </row>
    <row r="20" customFormat="false" ht="15" hidden="false" customHeight="true" outlineLevel="0" collapsed="false">
      <c r="A20" s="9" t="s">
        <v>54</v>
      </c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</sheetData>
  <mergeCells count="1">
    <mergeCell ref="A20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28"/>
    <col collapsed="false" customWidth="true" hidden="false" outlineLevel="0" max="8" min="7" style="0" width="6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3" min="11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7" min="16" style="0" width="8"/>
    <col collapsed="false" customWidth="true" hidden="false" outlineLevel="0" max="19" min="18" style="0" width="7"/>
    <col collapsed="false" customWidth="true" hidden="false" outlineLevel="0" max="24" min="20" style="0" width="8"/>
    <col collapsed="false" customWidth="true" hidden="false" outlineLevel="0" max="25" min="25" style="0" width="6"/>
    <col collapsed="false" customWidth="true" hidden="false" outlineLevel="0" max="26" min="26" style="0" width="9"/>
    <col collapsed="false" customWidth="true" hidden="false" outlineLevel="0" max="27" min="27" style="0" width="13"/>
    <col collapsed="false" customWidth="true" hidden="false" outlineLevel="0" max="28" min="28" style="0" width="9"/>
    <col collapsed="false" customWidth="true" hidden="false" outlineLevel="0" max="29" min="29" style="0" width="8"/>
    <col collapsed="false" customWidth="true" hidden="false" outlineLevel="0" max="30" min="30" style="0" width="52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3" t="s">
        <v>72</v>
      </c>
      <c r="Q4" s="3" t="s">
        <v>73</v>
      </c>
      <c r="R4" s="3" t="s">
        <v>74</v>
      </c>
      <c r="S4" s="3" t="s">
        <v>75</v>
      </c>
      <c r="T4" s="3" t="s">
        <v>76</v>
      </c>
      <c r="U4" s="3" t="s">
        <v>77</v>
      </c>
      <c r="V4" s="3" t="s">
        <v>78</v>
      </c>
      <c r="W4" s="3" t="s">
        <v>79</v>
      </c>
      <c r="X4" s="3" t="s">
        <v>80</v>
      </c>
      <c r="Y4" s="3" t="s">
        <v>81</v>
      </c>
      <c r="Z4" s="3" t="s">
        <v>82</v>
      </c>
      <c r="AA4" s="3" t="s">
        <v>83</v>
      </c>
      <c r="AB4" s="3" t="s">
        <v>84</v>
      </c>
      <c r="AC4" s="3" t="s">
        <v>85</v>
      </c>
      <c r="AD4" s="3" t="s">
        <v>86</v>
      </c>
    </row>
    <row r="5" customFormat="false" ht="15" hidden="false" customHeight="false" outlineLevel="0" collapsed="false">
      <c r="A5" s="10" t="s">
        <v>87</v>
      </c>
      <c r="B5" s="11" t="s">
        <v>88</v>
      </c>
      <c r="C5" s="12" t="n">
        <v>287</v>
      </c>
      <c r="D5" s="12" t="n">
        <v>415</v>
      </c>
      <c r="E5" s="12" t="n">
        <v>1</v>
      </c>
      <c r="F5" s="11" t="s">
        <v>89</v>
      </c>
      <c r="G5" s="12" t="n">
        <v>3</v>
      </c>
      <c r="H5" s="12" t="n">
        <v>0</v>
      </c>
      <c r="I5" s="12" t="n">
        <v>0</v>
      </c>
      <c r="J5" s="13" t="n">
        <f aca="false">G5+H5+1</f>
        <v>4</v>
      </c>
      <c r="K5" s="14" t="n">
        <f aca="false">2*Parametros!$C$6+(E5-1)*Parametros!$C$7+E5*(D5-Parametros!$C$13)</f>
        <v>457.02</v>
      </c>
      <c r="L5" s="14" t="n">
        <f aca="false">IF(I5&gt;0,K5+2*Parametros!$C$10,K5)</f>
        <v>457.02</v>
      </c>
      <c r="M5" s="14" t="n">
        <f aca="false">C5+2*(Parametros!$C$8-Parametros!$C$5)</f>
        <v>372.26</v>
      </c>
      <c r="N5" s="14" t="n">
        <f aca="false">Parametros!$C$11+(J5+IF(I5&gt;0,1,0))*Parametros!$C$9+G5*(270-Parametros!$C$13)+H5*(513-Parametros!$C$13)+IF(I5&gt;0,I5-Parametros!$C$13,0)</f>
        <v>878.12</v>
      </c>
      <c r="O5" s="14" t="n">
        <f aca="false">Parametros!$C$11+J5*Parametros!$C$9+G5*(270-Parametros!$C$13)+H5*(513-Parametros!$C$13)+Parametros!$C$12/2</f>
        <v>885.62</v>
      </c>
      <c r="P5" s="13" t="n">
        <f aca="false">4*J5</f>
        <v>16</v>
      </c>
      <c r="Q5" s="13" t="n">
        <f aca="false">2*(E5-1)*(J5+IF(I5&gt;0,1,0))</f>
        <v>0</v>
      </c>
      <c r="R5" s="13" t="n">
        <f aca="false">IF(I5&gt;0,4,0)</f>
        <v>0</v>
      </c>
      <c r="S5" s="13" t="n">
        <f aca="false">2*(E5+1)</f>
        <v>4</v>
      </c>
      <c r="T5" s="13" t="n">
        <f aca="false">E5*J5</f>
        <v>4</v>
      </c>
      <c r="U5" s="13" t="n">
        <f aca="false">2*E5*J5+IF(I5&gt;0,2*E5,0)</f>
        <v>8</v>
      </c>
      <c r="V5" s="13" t="n">
        <f aca="false">(E5+1)*J5</f>
        <v>8</v>
      </c>
      <c r="W5" s="13" t="n">
        <f aca="false">2*(E5+1)*(G5+IF(I5=270,1,0))</f>
        <v>12</v>
      </c>
      <c r="X5" s="13" t="n">
        <f aca="false">2*(E5+1)*(H5+IF(I5=513,1,0))</f>
        <v>0</v>
      </c>
      <c r="Y5" s="13" t="n">
        <f aca="false">2*(E5+1)</f>
        <v>4</v>
      </c>
      <c r="Z5" s="15" t="n">
        <f aca="false">P5*Kit!$D$15+Q5*Kit!$D$16+R5*Kit!$D$17+S5*Kit!$D$18+T5*Kit!$D$5+U5*Kit!$D$10+V5*Kit!$D$8+W5*Kit!$D$12+X5*Kit!$D$13+Y5*Kit!$D$14</f>
        <v>7.2748</v>
      </c>
      <c r="AA5" s="16" t="n">
        <f aca="false">P5*Kit!$E$15+Q5*Kit!$E$16+R5*Kit!$E$17+S5*Kit!$E$18+T5*Kit!$E$5+U5*Kit!$E$10+V5*Kit!$E$8+W5*Kit!$E$12+X5*Kit!$E$13+Y5*Kit!$E$14</f>
        <v>131.1104</v>
      </c>
      <c r="AB5" s="17" t="n">
        <f aca="false">K5*J5/1000</f>
        <v>1.82808</v>
      </c>
      <c r="AC5" s="17" t="n">
        <f aca="false">N5/M5</f>
        <v>2.35888894858432</v>
      </c>
      <c r="AD5" s="18" t="s">
        <v>90</v>
      </c>
    </row>
    <row r="6" customFormat="false" ht="15" hidden="false" customHeight="false" outlineLevel="0" collapsed="false">
      <c r="A6" s="10" t="s">
        <v>91</v>
      </c>
      <c r="B6" s="11" t="s">
        <v>88</v>
      </c>
      <c r="C6" s="12" t="n">
        <v>287</v>
      </c>
      <c r="D6" s="12" t="n">
        <v>415</v>
      </c>
      <c r="E6" s="12" t="n">
        <v>1</v>
      </c>
      <c r="F6" s="11" t="s">
        <v>92</v>
      </c>
      <c r="G6" s="12" t="n">
        <v>5</v>
      </c>
      <c r="H6" s="12" t="n">
        <v>0</v>
      </c>
      <c r="I6" s="12" t="n">
        <v>0</v>
      </c>
      <c r="J6" s="13" t="n">
        <f aca="false">G6+H6+1</f>
        <v>6</v>
      </c>
      <c r="K6" s="14" t="n">
        <f aca="false">2*Parametros!$C$6+(E6-1)*Parametros!$C$7+E6*(D6-Parametros!$C$13)</f>
        <v>457.02</v>
      </c>
      <c r="L6" s="14" t="n">
        <f aca="false">IF(I6&gt;0,K6+2*Parametros!$C$10,K6)</f>
        <v>457.02</v>
      </c>
      <c r="M6" s="14" t="n">
        <f aca="false">C6+2*(Parametros!$C$8-Parametros!$C$5)</f>
        <v>372.26</v>
      </c>
      <c r="N6" s="14" t="n">
        <f aca="false">Parametros!$C$11+(J6+IF(I6&gt;0,1,0))*Parametros!$C$9+G6*(270-Parametros!$C$13)+H6*(513-Parametros!$C$13)+IF(I6&gt;0,I6-Parametros!$C$13,0)</f>
        <v>1401.88</v>
      </c>
      <c r="O6" s="14" t="n">
        <f aca="false">Parametros!$C$11+J6*Parametros!$C$9+G6*(270-Parametros!$C$13)+H6*(513-Parametros!$C$13)+Parametros!$C$12/2</f>
        <v>1409.38</v>
      </c>
      <c r="P6" s="13" t="n">
        <f aca="false">4*J6</f>
        <v>24</v>
      </c>
      <c r="Q6" s="13" t="n">
        <f aca="false">2*(E6-1)*(J6+IF(I6&gt;0,1,0))</f>
        <v>0</v>
      </c>
      <c r="R6" s="13" t="n">
        <f aca="false">IF(I6&gt;0,4,0)</f>
        <v>0</v>
      </c>
      <c r="S6" s="13" t="n">
        <f aca="false">2*(E6+1)</f>
        <v>4</v>
      </c>
      <c r="T6" s="13" t="n">
        <f aca="false">E6*J6</f>
        <v>6</v>
      </c>
      <c r="U6" s="13" t="n">
        <f aca="false">2*E6*J6+IF(I6&gt;0,2*E6,0)</f>
        <v>12</v>
      </c>
      <c r="V6" s="13" t="n">
        <f aca="false">(E6+1)*J6</f>
        <v>12</v>
      </c>
      <c r="W6" s="13" t="n">
        <f aca="false">2*(E6+1)*(G6+IF(I6=270,1,0))</f>
        <v>20</v>
      </c>
      <c r="X6" s="13" t="n">
        <f aca="false">2*(E6+1)*(H6+IF(I6=513,1,0))</f>
        <v>0</v>
      </c>
      <c r="Y6" s="13" t="n">
        <f aca="false">2*(E6+1)</f>
        <v>4</v>
      </c>
      <c r="Z6" s="15" t="n">
        <f aca="false">P6*Kit!$D$15+Q6*Kit!$D$16+R6*Kit!$D$17+S6*Kit!$D$18+T6*Kit!$D$5+U6*Kit!$D$10+V6*Kit!$D$8+W6*Kit!$D$12+X6*Kit!$D$13+Y6*Kit!$D$14</f>
        <v>11.005</v>
      </c>
      <c r="AA6" s="16" t="n">
        <f aca="false">P6*Kit!$E$15+Q6*Kit!$E$16+R6*Kit!$E$17+S6*Kit!$E$18+T6*Kit!$E$5+U6*Kit!$E$10+V6*Kit!$E$8+W6*Kit!$E$12+X6*Kit!$E$13+Y6*Kit!$E$14</f>
        <v>198.4546</v>
      </c>
      <c r="AB6" s="17" t="n">
        <f aca="false">K6*J6/1000</f>
        <v>2.74212</v>
      </c>
      <c r="AC6" s="17" t="n">
        <f aca="false">N6/M6</f>
        <v>3.76586256917208</v>
      </c>
      <c r="AD6" s="18" t="s">
        <v>93</v>
      </c>
    </row>
    <row r="7" customFormat="false" ht="15" hidden="false" customHeight="false" outlineLevel="0" collapsed="false">
      <c r="A7" s="10" t="s">
        <v>94</v>
      </c>
      <c r="B7" s="11" t="s">
        <v>88</v>
      </c>
      <c r="C7" s="12" t="n">
        <v>287</v>
      </c>
      <c r="D7" s="12" t="n">
        <v>415</v>
      </c>
      <c r="E7" s="12" t="n">
        <v>1</v>
      </c>
      <c r="F7" s="11" t="s">
        <v>95</v>
      </c>
      <c r="G7" s="12" t="n">
        <v>6</v>
      </c>
      <c r="H7" s="12" t="n">
        <v>0</v>
      </c>
      <c r="I7" s="12" t="n">
        <v>0</v>
      </c>
      <c r="J7" s="13" t="n">
        <f aca="false">G7+H7+1</f>
        <v>7</v>
      </c>
      <c r="K7" s="14" t="n">
        <f aca="false">2*Parametros!$C$6+(E7-1)*Parametros!$C$7+E7*(D7-Parametros!$C$13)</f>
        <v>457.02</v>
      </c>
      <c r="L7" s="14" t="n">
        <f aca="false">IF(I7&gt;0,K7+2*Parametros!$C$10,K7)</f>
        <v>457.02</v>
      </c>
      <c r="M7" s="14" t="n">
        <f aca="false">C7+2*(Parametros!$C$8-Parametros!$C$5)</f>
        <v>372.26</v>
      </c>
      <c r="N7" s="14" t="n">
        <f aca="false">Parametros!$C$11+(J7+IF(I7&gt;0,1,0))*Parametros!$C$9+G7*(270-Parametros!$C$13)+H7*(513-Parametros!$C$13)+IF(I7&gt;0,I7-Parametros!$C$13,0)</f>
        <v>1663.76</v>
      </c>
      <c r="O7" s="14" t="n">
        <f aca="false">Parametros!$C$11+J7*Parametros!$C$9+G7*(270-Parametros!$C$13)+H7*(513-Parametros!$C$13)+Parametros!$C$12/2</f>
        <v>1671.26</v>
      </c>
      <c r="P7" s="13" t="n">
        <f aca="false">4*J7</f>
        <v>28</v>
      </c>
      <c r="Q7" s="13" t="n">
        <f aca="false">2*(E7-1)*(J7+IF(I7&gt;0,1,0))</f>
        <v>0</v>
      </c>
      <c r="R7" s="13" t="n">
        <f aca="false">IF(I7&gt;0,4,0)</f>
        <v>0</v>
      </c>
      <c r="S7" s="13" t="n">
        <f aca="false">2*(E7+1)</f>
        <v>4</v>
      </c>
      <c r="T7" s="13" t="n">
        <f aca="false">E7*J7</f>
        <v>7</v>
      </c>
      <c r="U7" s="13" t="n">
        <f aca="false">2*E7*J7+IF(I7&gt;0,2*E7,0)</f>
        <v>14</v>
      </c>
      <c r="V7" s="13" t="n">
        <f aca="false">(E7+1)*J7</f>
        <v>14</v>
      </c>
      <c r="W7" s="13" t="n">
        <f aca="false">2*(E7+1)*(G7+IF(I7=270,1,0))</f>
        <v>24</v>
      </c>
      <c r="X7" s="13" t="n">
        <f aca="false">2*(E7+1)*(H7+IF(I7=513,1,0))</f>
        <v>0</v>
      </c>
      <c r="Y7" s="13" t="n">
        <f aca="false">2*(E7+1)</f>
        <v>4</v>
      </c>
      <c r="Z7" s="15" t="n">
        <f aca="false">P7*Kit!$D$15+Q7*Kit!$D$16+R7*Kit!$D$17+S7*Kit!$D$18+T7*Kit!$D$5+U7*Kit!$D$10+V7*Kit!$D$8+W7*Kit!$D$12+X7*Kit!$D$13+Y7*Kit!$D$14</f>
        <v>12.8701</v>
      </c>
      <c r="AA7" s="16" t="n">
        <f aca="false">P7*Kit!$E$15+Q7*Kit!$E$16+R7*Kit!$E$17+S7*Kit!$E$18+T7*Kit!$E$5+U7*Kit!$E$10+V7*Kit!$E$8+W7*Kit!$E$12+X7*Kit!$E$13+Y7*Kit!$E$14</f>
        <v>232.1267</v>
      </c>
      <c r="AB7" s="17" t="n">
        <f aca="false">K7*J7/1000</f>
        <v>3.19914</v>
      </c>
      <c r="AC7" s="17" t="n">
        <f aca="false">N7/M7</f>
        <v>4.46934937946597</v>
      </c>
      <c r="AD7" s="18" t="s">
        <v>96</v>
      </c>
    </row>
    <row r="8" customFormat="false" ht="15" hidden="false" customHeight="false" outlineLevel="0" collapsed="false">
      <c r="A8" s="10" t="s">
        <v>97</v>
      </c>
      <c r="B8" s="11" t="s">
        <v>88</v>
      </c>
      <c r="C8" s="12" t="n">
        <v>287</v>
      </c>
      <c r="D8" s="12" t="n">
        <v>415</v>
      </c>
      <c r="E8" s="12" t="n">
        <v>1</v>
      </c>
      <c r="F8" s="11" t="s">
        <v>98</v>
      </c>
      <c r="G8" s="12" t="n">
        <v>2</v>
      </c>
      <c r="H8" s="12" t="n">
        <v>2</v>
      </c>
      <c r="I8" s="12" t="n">
        <v>0</v>
      </c>
      <c r="J8" s="13" t="n">
        <f aca="false">G8+H8+1</f>
        <v>5</v>
      </c>
      <c r="K8" s="14" t="n">
        <f aca="false">2*Parametros!$C$6+(E8-1)*Parametros!$C$7+E8*(D8-Parametros!$C$13)</f>
        <v>457.02</v>
      </c>
      <c r="L8" s="14" t="n">
        <f aca="false">IF(I8&gt;0,K8+2*Parametros!$C$10,K8)</f>
        <v>457.02</v>
      </c>
      <c r="M8" s="14" t="n">
        <f aca="false">C8+2*(Parametros!$C$8-Parametros!$C$5)</f>
        <v>372.26</v>
      </c>
      <c r="N8" s="14" t="n">
        <f aca="false">Parametros!$C$11+(J8+IF(I8&gt;0,1,0))*Parametros!$C$9+G8*(270-Parametros!$C$13)+H8*(513-Parametros!$C$13)+IF(I8&gt;0,I8-Parametros!$C$13,0)</f>
        <v>1626</v>
      </c>
      <c r="O8" s="14" t="n">
        <f aca="false">Parametros!$C$11+J8*Parametros!$C$9+G8*(270-Parametros!$C$13)+H8*(513-Parametros!$C$13)+Parametros!$C$12/2</f>
        <v>1633.5</v>
      </c>
      <c r="P8" s="13" t="n">
        <f aca="false">4*J8</f>
        <v>20</v>
      </c>
      <c r="Q8" s="13" t="n">
        <f aca="false">2*(E8-1)*(J8+IF(I8&gt;0,1,0))</f>
        <v>0</v>
      </c>
      <c r="R8" s="13" t="n">
        <f aca="false">IF(I8&gt;0,4,0)</f>
        <v>0</v>
      </c>
      <c r="S8" s="13" t="n">
        <f aca="false">2*(E8+1)</f>
        <v>4</v>
      </c>
      <c r="T8" s="13" t="n">
        <f aca="false">E8*J8</f>
        <v>5</v>
      </c>
      <c r="U8" s="13" t="n">
        <f aca="false">2*E8*J8+IF(I8&gt;0,2*E8,0)</f>
        <v>10</v>
      </c>
      <c r="V8" s="13" t="n">
        <f aca="false">(E8+1)*J8</f>
        <v>10</v>
      </c>
      <c r="W8" s="13" t="n">
        <f aca="false">2*(E8+1)*(G8+IF(I8=270,1,0))</f>
        <v>8</v>
      </c>
      <c r="X8" s="13" t="n">
        <f aca="false">2*(E8+1)*(H8+IF(I8=513,1,0))</f>
        <v>8</v>
      </c>
      <c r="Y8" s="13" t="n">
        <f aca="false">2*(E8+1)</f>
        <v>4</v>
      </c>
      <c r="Z8" s="15" t="n">
        <f aca="false">P8*Kit!$D$15+Q8*Kit!$D$16+R8*Kit!$D$17+S8*Kit!$D$18+T8*Kit!$D$5+U8*Kit!$D$10+V8*Kit!$D$8+W8*Kit!$D$12+X8*Kit!$D$13+Y8*Kit!$D$14</f>
        <v>9.5799</v>
      </c>
      <c r="AA8" s="16" t="n">
        <f aca="false">P8*Kit!$E$15+Q8*Kit!$E$16+R8*Kit!$E$17+S8*Kit!$E$18+T8*Kit!$E$5+U8*Kit!$E$10+V8*Kit!$E$8+W8*Kit!$E$12+X8*Kit!$E$13+Y8*Kit!$E$14</f>
        <v>173.1537</v>
      </c>
      <c r="AB8" s="17" t="n">
        <f aca="false">K8*J8/1000</f>
        <v>2.2851</v>
      </c>
      <c r="AC8" s="17" t="n">
        <f aca="false">N8/M8</f>
        <v>4.36791489818944</v>
      </c>
      <c r="AD8" s="18" t="s">
        <v>99</v>
      </c>
    </row>
    <row r="9" customFormat="false" ht="15" hidden="false" customHeight="false" outlineLevel="0" collapsed="false">
      <c r="A9" s="10" t="s">
        <v>100</v>
      </c>
      <c r="B9" s="11" t="s">
        <v>88</v>
      </c>
      <c r="C9" s="12" t="n">
        <v>287</v>
      </c>
      <c r="D9" s="12" t="n">
        <v>415</v>
      </c>
      <c r="E9" s="12" t="n">
        <v>1</v>
      </c>
      <c r="F9" s="11" t="s">
        <v>101</v>
      </c>
      <c r="G9" s="12" t="n">
        <v>0</v>
      </c>
      <c r="H9" s="12" t="n">
        <v>2</v>
      </c>
      <c r="I9" s="12" t="n">
        <v>513</v>
      </c>
      <c r="J9" s="13" t="n">
        <f aca="false">G9+H9+1</f>
        <v>3</v>
      </c>
      <c r="K9" s="14" t="n">
        <f aca="false">2*Parametros!$C$6+(E9-1)*Parametros!$C$7+E9*(D9-Parametros!$C$13)</f>
        <v>457.02</v>
      </c>
      <c r="L9" s="14" t="n">
        <f aca="false">IF(I9&gt;0,K9+2*Parametros!$C$10,K9)</f>
        <v>500.86</v>
      </c>
      <c r="M9" s="14" t="n">
        <f aca="false">C9+2*(Parametros!$C$8-Parametros!$C$5)</f>
        <v>372.26</v>
      </c>
      <c r="N9" s="14" t="n">
        <f aca="false">Parametros!$C$11+(J9+IF(I9&gt;0,1,0))*Parametros!$C$9+G9*(270-Parametros!$C$13)+H9*(513-Parametros!$C$13)+IF(I9&gt;0,I9-Parametros!$C$13,0)</f>
        <v>1607.12</v>
      </c>
      <c r="O9" s="14" t="n">
        <f aca="false">Parametros!$C$11+J9*Parametros!$C$9+G9*(270-Parametros!$C$13)+H9*(513-Parametros!$C$13)+Parametros!$C$12/2</f>
        <v>1109.74</v>
      </c>
      <c r="P9" s="13" t="n">
        <f aca="false">4*J9</f>
        <v>12</v>
      </c>
      <c r="Q9" s="13" t="n">
        <f aca="false">2*(E9-1)*(J9+IF(I9&gt;0,1,0))</f>
        <v>0</v>
      </c>
      <c r="R9" s="13" t="n">
        <f aca="false">IF(I9&gt;0,4,0)</f>
        <v>4</v>
      </c>
      <c r="S9" s="13" t="n">
        <f aca="false">2*(E9+1)</f>
        <v>4</v>
      </c>
      <c r="T9" s="13" t="n">
        <f aca="false">E9*J9</f>
        <v>3</v>
      </c>
      <c r="U9" s="13" t="n">
        <f aca="false">2*E9*J9+IF(I9&gt;0,2*E9,0)</f>
        <v>8</v>
      </c>
      <c r="V9" s="13" t="n">
        <f aca="false">(E9+1)*J9</f>
        <v>6</v>
      </c>
      <c r="W9" s="13" t="n">
        <f aca="false">2*(E9+1)*(G9+IF(I9=270,1,0))</f>
        <v>0</v>
      </c>
      <c r="X9" s="13" t="n">
        <f aca="false">2*(E9+1)*(H9+IF(I9=513,1,0))</f>
        <v>12</v>
      </c>
      <c r="Y9" s="13" t="n">
        <f aca="false">2*(E9+1)</f>
        <v>4</v>
      </c>
      <c r="Z9" s="15" t="n">
        <f aca="false">P9*Kit!$D$15+Q9*Kit!$D$16+R9*Kit!$D$17+S9*Kit!$D$18+T9*Kit!$D$5+U9*Kit!$D$10+V9*Kit!$D$8+W9*Kit!$D$12+X9*Kit!$D$13+Y9*Kit!$D$14</f>
        <v>6.6299</v>
      </c>
      <c r="AA9" s="16" t="n">
        <f aca="false">P9*Kit!$E$15+Q9*Kit!$E$16+R9*Kit!$E$17+S9*Kit!$E$18+T9*Kit!$E$5+U9*Kit!$E$10+V9*Kit!$E$8+W9*Kit!$E$12+X9*Kit!$E$13+Y9*Kit!$E$14</f>
        <v>119.4207</v>
      </c>
      <c r="AB9" s="17" t="n">
        <f aca="false">K9*J9/1000</f>
        <v>1.37106</v>
      </c>
      <c r="AC9" s="17" t="n">
        <f aca="false">N9/M9</f>
        <v>4.31719765755117</v>
      </c>
      <c r="AD9" s="18" t="s">
        <v>102</v>
      </c>
    </row>
    <row r="10" customFormat="false" ht="15" hidden="false" customHeight="false" outlineLevel="0" collapsed="false">
      <c r="A10" s="4" t="s">
        <v>103</v>
      </c>
      <c r="B10" s="5" t="s">
        <v>88</v>
      </c>
      <c r="C10" s="19" t="n">
        <v>287</v>
      </c>
      <c r="D10" s="19" t="n">
        <v>415</v>
      </c>
      <c r="E10" s="19" t="n">
        <v>2</v>
      </c>
      <c r="F10" s="5" t="s">
        <v>89</v>
      </c>
      <c r="G10" s="19" t="n">
        <v>3</v>
      </c>
      <c r="H10" s="19" t="n">
        <v>0</v>
      </c>
      <c r="I10" s="19" t="n">
        <v>0</v>
      </c>
      <c r="J10" s="20" t="n">
        <f aca="false">G10+H10+1</f>
        <v>4</v>
      </c>
      <c r="K10" s="21" t="n">
        <f aca="false">2*Parametros!$C$6+(E10-1)*Parametros!$C$7+E10*(D10-Parametros!$C$13)</f>
        <v>892.12</v>
      </c>
      <c r="L10" s="21" t="n">
        <f aca="false">IF(I10&gt;0,K10+2*Parametros!$C$10,K10)</f>
        <v>892.12</v>
      </c>
      <c r="M10" s="21" t="n">
        <f aca="false">C10+2*(Parametros!$C$8-Parametros!$C$5)</f>
        <v>372.26</v>
      </c>
      <c r="N10" s="21" t="n">
        <f aca="false">Parametros!$C$11+(J10+IF(I10&gt;0,1,0))*Parametros!$C$9+G10*(270-Parametros!$C$13)+H10*(513-Parametros!$C$13)+IF(I10&gt;0,I10-Parametros!$C$13,0)</f>
        <v>878.12</v>
      </c>
      <c r="O10" s="21" t="n">
        <f aca="false">Parametros!$C$11+J10*Parametros!$C$9+G10*(270-Parametros!$C$13)+H10*(513-Parametros!$C$13)+Parametros!$C$12/2</f>
        <v>885.62</v>
      </c>
      <c r="P10" s="20" t="n">
        <f aca="false">4*J10</f>
        <v>16</v>
      </c>
      <c r="Q10" s="20" t="n">
        <f aca="false">2*(E10-1)*(J10+IF(I10&gt;0,1,0))</f>
        <v>8</v>
      </c>
      <c r="R10" s="20" t="n">
        <f aca="false">IF(I10&gt;0,4,0)</f>
        <v>0</v>
      </c>
      <c r="S10" s="20" t="n">
        <f aca="false">2*(E10+1)</f>
        <v>6</v>
      </c>
      <c r="T10" s="20" t="n">
        <f aca="false">E10*J10</f>
        <v>8</v>
      </c>
      <c r="U10" s="20" t="n">
        <f aca="false">2*E10*J10+IF(I10&gt;0,2*E10,0)</f>
        <v>16</v>
      </c>
      <c r="V10" s="20" t="n">
        <f aca="false">(E10+1)*J10</f>
        <v>12</v>
      </c>
      <c r="W10" s="20" t="n">
        <f aca="false">2*(E10+1)*(G10+IF(I10=270,1,0))</f>
        <v>18</v>
      </c>
      <c r="X10" s="20" t="n">
        <f aca="false">2*(E10+1)*(H10+IF(I10=513,1,0))</f>
        <v>0</v>
      </c>
      <c r="Y10" s="20" t="n">
        <f aca="false">2*(E10+1)</f>
        <v>6</v>
      </c>
      <c r="Z10" s="22" t="n">
        <f aca="false">P10*Kit!$D$15+Q10*Kit!$D$16+R10*Kit!$D$17+S10*Kit!$D$18+T10*Kit!$D$5+U10*Kit!$D$10+V10*Kit!$D$8+W10*Kit!$D$12+X10*Kit!$D$13+Y10*Kit!$D$14</f>
        <v>13.638</v>
      </c>
      <c r="AA10" s="23" t="n">
        <f aca="false">P10*Kit!$E$15+Q10*Kit!$E$16+R10*Kit!$E$17+S10*Kit!$E$18+T10*Kit!$E$5+U10*Kit!$E$10+V10*Kit!$E$8+W10*Kit!$E$12+X10*Kit!$E$13+Y10*Kit!$E$14</f>
        <v>247.5262</v>
      </c>
      <c r="AB10" s="24" t="n">
        <f aca="false">K10*J10/1000</f>
        <v>3.56848</v>
      </c>
      <c r="AC10" s="24" t="n">
        <f aca="false">N10/M10</f>
        <v>2.35888894858432</v>
      </c>
      <c r="AD10" s="8" t="s">
        <v>90</v>
      </c>
    </row>
    <row r="11" customFormat="false" ht="15" hidden="false" customHeight="false" outlineLevel="0" collapsed="false">
      <c r="A11" s="4" t="s">
        <v>104</v>
      </c>
      <c r="B11" s="5" t="s">
        <v>88</v>
      </c>
      <c r="C11" s="19" t="n">
        <v>287</v>
      </c>
      <c r="D11" s="19" t="n">
        <v>415</v>
      </c>
      <c r="E11" s="19" t="n">
        <v>2</v>
      </c>
      <c r="F11" s="5" t="s">
        <v>92</v>
      </c>
      <c r="G11" s="19" t="n">
        <v>5</v>
      </c>
      <c r="H11" s="19" t="n">
        <v>0</v>
      </c>
      <c r="I11" s="19" t="n">
        <v>0</v>
      </c>
      <c r="J11" s="20" t="n">
        <f aca="false">G11+H11+1</f>
        <v>6</v>
      </c>
      <c r="K11" s="21" t="n">
        <f aca="false">2*Parametros!$C$6+(E11-1)*Parametros!$C$7+E11*(D11-Parametros!$C$13)</f>
        <v>892.12</v>
      </c>
      <c r="L11" s="21" t="n">
        <f aca="false">IF(I11&gt;0,K11+2*Parametros!$C$10,K11)</f>
        <v>892.12</v>
      </c>
      <c r="M11" s="21" t="n">
        <f aca="false">C11+2*(Parametros!$C$8-Parametros!$C$5)</f>
        <v>372.26</v>
      </c>
      <c r="N11" s="21" t="n">
        <f aca="false">Parametros!$C$11+(J11+IF(I11&gt;0,1,0))*Parametros!$C$9+G11*(270-Parametros!$C$13)+H11*(513-Parametros!$C$13)+IF(I11&gt;0,I11-Parametros!$C$13,0)</f>
        <v>1401.88</v>
      </c>
      <c r="O11" s="21" t="n">
        <f aca="false">Parametros!$C$11+J11*Parametros!$C$9+G11*(270-Parametros!$C$13)+H11*(513-Parametros!$C$13)+Parametros!$C$12/2</f>
        <v>1409.38</v>
      </c>
      <c r="P11" s="20" t="n">
        <f aca="false">4*J11</f>
        <v>24</v>
      </c>
      <c r="Q11" s="20" t="n">
        <f aca="false">2*(E11-1)*(J11+IF(I11&gt;0,1,0))</f>
        <v>12</v>
      </c>
      <c r="R11" s="20" t="n">
        <f aca="false">IF(I11&gt;0,4,0)</f>
        <v>0</v>
      </c>
      <c r="S11" s="20" t="n">
        <f aca="false">2*(E11+1)</f>
        <v>6</v>
      </c>
      <c r="T11" s="20" t="n">
        <f aca="false">E11*J11</f>
        <v>12</v>
      </c>
      <c r="U11" s="20" t="n">
        <f aca="false">2*E11*J11+IF(I11&gt;0,2*E11,0)</f>
        <v>24</v>
      </c>
      <c r="V11" s="20" t="n">
        <f aca="false">(E11+1)*J11</f>
        <v>18</v>
      </c>
      <c r="W11" s="20" t="n">
        <f aca="false">2*(E11+1)*(G11+IF(I11=270,1,0))</f>
        <v>30</v>
      </c>
      <c r="X11" s="20" t="n">
        <f aca="false">2*(E11+1)*(H11+IF(I11=513,1,0))</f>
        <v>0</v>
      </c>
      <c r="Y11" s="20" t="n">
        <f aca="false">2*(E11+1)</f>
        <v>6</v>
      </c>
      <c r="Z11" s="22" t="n">
        <f aca="false">P11*Kit!$D$15+Q11*Kit!$D$16+R11*Kit!$D$17+S11*Kit!$D$18+T11*Kit!$D$5+U11*Kit!$D$10+V11*Kit!$D$8+W11*Kit!$D$12+X11*Kit!$D$13+Y11*Kit!$D$14</f>
        <v>20.5962</v>
      </c>
      <c r="AA11" s="23" t="n">
        <f aca="false">P11*Kit!$E$15+Q11*Kit!$E$16+R11*Kit!$E$17+S11*Kit!$E$18+T11*Kit!$E$5+U11*Kit!$E$10+V11*Kit!$E$8+W11*Kit!$E$12+X11*Kit!$E$13+Y11*Kit!$E$14</f>
        <v>373.9728</v>
      </c>
      <c r="AB11" s="24" t="n">
        <f aca="false">K11*J11/1000</f>
        <v>5.35272</v>
      </c>
      <c r="AC11" s="24" t="n">
        <f aca="false">N11/M11</f>
        <v>3.76586256917208</v>
      </c>
      <c r="AD11" s="8" t="s">
        <v>93</v>
      </c>
    </row>
    <row r="12" customFormat="false" ht="15" hidden="false" customHeight="false" outlineLevel="0" collapsed="false">
      <c r="A12" s="4" t="s">
        <v>105</v>
      </c>
      <c r="B12" s="5" t="s">
        <v>88</v>
      </c>
      <c r="C12" s="19" t="n">
        <v>287</v>
      </c>
      <c r="D12" s="19" t="n">
        <v>415</v>
      </c>
      <c r="E12" s="19" t="n">
        <v>2</v>
      </c>
      <c r="F12" s="5" t="s">
        <v>95</v>
      </c>
      <c r="G12" s="19" t="n">
        <v>6</v>
      </c>
      <c r="H12" s="19" t="n">
        <v>0</v>
      </c>
      <c r="I12" s="19" t="n">
        <v>0</v>
      </c>
      <c r="J12" s="20" t="n">
        <f aca="false">G12+H12+1</f>
        <v>7</v>
      </c>
      <c r="K12" s="21" t="n">
        <f aca="false">2*Parametros!$C$6+(E12-1)*Parametros!$C$7+E12*(D12-Parametros!$C$13)</f>
        <v>892.12</v>
      </c>
      <c r="L12" s="21" t="n">
        <f aca="false">IF(I12&gt;0,K12+2*Parametros!$C$10,K12)</f>
        <v>892.12</v>
      </c>
      <c r="M12" s="21" t="n">
        <f aca="false">C12+2*(Parametros!$C$8-Parametros!$C$5)</f>
        <v>372.26</v>
      </c>
      <c r="N12" s="21" t="n">
        <f aca="false">Parametros!$C$11+(J12+IF(I12&gt;0,1,0))*Parametros!$C$9+G12*(270-Parametros!$C$13)+H12*(513-Parametros!$C$13)+IF(I12&gt;0,I12-Parametros!$C$13,0)</f>
        <v>1663.76</v>
      </c>
      <c r="O12" s="21" t="n">
        <f aca="false">Parametros!$C$11+J12*Parametros!$C$9+G12*(270-Parametros!$C$13)+H12*(513-Parametros!$C$13)+Parametros!$C$12/2</f>
        <v>1671.26</v>
      </c>
      <c r="P12" s="20" t="n">
        <f aca="false">4*J12</f>
        <v>28</v>
      </c>
      <c r="Q12" s="20" t="n">
        <f aca="false">2*(E12-1)*(J12+IF(I12&gt;0,1,0))</f>
        <v>14</v>
      </c>
      <c r="R12" s="20" t="n">
        <f aca="false">IF(I12&gt;0,4,0)</f>
        <v>0</v>
      </c>
      <c r="S12" s="20" t="n">
        <f aca="false">2*(E12+1)</f>
        <v>6</v>
      </c>
      <c r="T12" s="20" t="n">
        <f aca="false">E12*J12</f>
        <v>14</v>
      </c>
      <c r="U12" s="20" t="n">
        <f aca="false">2*E12*J12+IF(I12&gt;0,2*E12,0)</f>
        <v>28</v>
      </c>
      <c r="V12" s="20" t="n">
        <f aca="false">(E12+1)*J12</f>
        <v>21</v>
      </c>
      <c r="W12" s="20" t="n">
        <f aca="false">2*(E12+1)*(G12+IF(I12=270,1,0))</f>
        <v>36</v>
      </c>
      <c r="X12" s="20" t="n">
        <f aca="false">2*(E12+1)*(H12+IF(I12=513,1,0))</f>
        <v>0</v>
      </c>
      <c r="Y12" s="20" t="n">
        <f aca="false">2*(E12+1)</f>
        <v>6</v>
      </c>
      <c r="Z12" s="22" t="n">
        <f aca="false">P12*Kit!$D$15+Q12*Kit!$D$16+R12*Kit!$D$17+S12*Kit!$D$18+T12*Kit!$D$5+U12*Kit!$D$10+V12*Kit!$D$8+W12*Kit!$D$12+X12*Kit!$D$13+Y12*Kit!$D$14</f>
        <v>24.0753</v>
      </c>
      <c r="AA12" s="23" t="n">
        <f aca="false">P12*Kit!$E$15+Q12*Kit!$E$16+R12*Kit!$E$17+S12*Kit!$E$18+T12*Kit!$E$5+U12*Kit!$E$10+V12*Kit!$E$8+W12*Kit!$E$12+X12*Kit!$E$13+Y12*Kit!$E$14</f>
        <v>437.1961</v>
      </c>
      <c r="AB12" s="24" t="n">
        <f aca="false">K12*J12/1000</f>
        <v>6.24484</v>
      </c>
      <c r="AC12" s="24" t="n">
        <f aca="false">N12/M12</f>
        <v>4.46934937946597</v>
      </c>
      <c r="AD12" s="8" t="s">
        <v>96</v>
      </c>
    </row>
    <row r="13" customFormat="false" ht="15" hidden="false" customHeight="false" outlineLevel="0" collapsed="false">
      <c r="A13" s="4" t="s">
        <v>106</v>
      </c>
      <c r="B13" s="5" t="s">
        <v>88</v>
      </c>
      <c r="C13" s="19" t="n">
        <v>287</v>
      </c>
      <c r="D13" s="19" t="n">
        <v>415</v>
      </c>
      <c r="E13" s="19" t="n">
        <v>2</v>
      </c>
      <c r="F13" s="5" t="s">
        <v>98</v>
      </c>
      <c r="G13" s="19" t="n">
        <v>2</v>
      </c>
      <c r="H13" s="19" t="n">
        <v>2</v>
      </c>
      <c r="I13" s="19" t="n">
        <v>0</v>
      </c>
      <c r="J13" s="20" t="n">
        <f aca="false">G13+H13+1</f>
        <v>5</v>
      </c>
      <c r="K13" s="21" t="n">
        <f aca="false">2*Parametros!$C$6+(E13-1)*Parametros!$C$7+E13*(D13-Parametros!$C$13)</f>
        <v>892.12</v>
      </c>
      <c r="L13" s="21" t="n">
        <f aca="false">IF(I13&gt;0,K13+2*Parametros!$C$10,K13)</f>
        <v>892.12</v>
      </c>
      <c r="M13" s="21" t="n">
        <f aca="false">C13+2*(Parametros!$C$8-Parametros!$C$5)</f>
        <v>372.26</v>
      </c>
      <c r="N13" s="21" t="n">
        <f aca="false">Parametros!$C$11+(J13+IF(I13&gt;0,1,0))*Parametros!$C$9+G13*(270-Parametros!$C$13)+H13*(513-Parametros!$C$13)+IF(I13&gt;0,I13-Parametros!$C$13,0)</f>
        <v>1626</v>
      </c>
      <c r="O13" s="21" t="n">
        <f aca="false">Parametros!$C$11+J13*Parametros!$C$9+G13*(270-Parametros!$C$13)+H13*(513-Parametros!$C$13)+Parametros!$C$12/2</f>
        <v>1633.5</v>
      </c>
      <c r="P13" s="20" t="n">
        <f aca="false">4*J13</f>
        <v>20</v>
      </c>
      <c r="Q13" s="20" t="n">
        <f aca="false">2*(E13-1)*(J13+IF(I13&gt;0,1,0))</f>
        <v>10</v>
      </c>
      <c r="R13" s="20" t="n">
        <f aca="false">IF(I13&gt;0,4,0)</f>
        <v>0</v>
      </c>
      <c r="S13" s="20" t="n">
        <f aca="false">2*(E13+1)</f>
        <v>6</v>
      </c>
      <c r="T13" s="20" t="n">
        <f aca="false">E13*J13</f>
        <v>10</v>
      </c>
      <c r="U13" s="20" t="n">
        <f aca="false">2*E13*J13+IF(I13&gt;0,2*E13,0)</f>
        <v>20</v>
      </c>
      <c r="V13" s="20" t="n">
        <f aca="false">(E13+1)*J13</f>
        <v>15</v>
      </c>
      <c r="W13" s="20" t="n">
        <f aca="false">2*(E13+1)*(G13+IF(I13=270,1,0))</f>
        <v>12</v>
      </c>
      <c r="X13" s="20" t="n">
        <f aca="false">2*(E13+1)*(H13+IF(I13=513,1,0))</f>
        <v>12</v>
      </c>
      <c r="Y13" s="20" t="n">
        <f aca="false">2*(E13+1)</f>
        <v>6</v>
      </c>
      <c r="Z13" s="22" t="n">
        <f aca="false">P13*Kit!$D$15+Q13*Kit!$D$16+R13*Kit!$D$17+S13*Kit!$D$18+T13*Kit!$D$5+U13*Kit!$D$10+V13*Kit!$D$8+W13*Kit!$D$12+X13*Kit!$D$13+Y13*Kit!$D$14</f>
        <v>17.7771</v>
      </c>
      <c r="AA13" s="23" t="n">
        <f aca="false">P13*Kit!$E$15+Q13*Kit!$E$16+R13*Kit!$E$17+S13*Kit!$E$18+T13*Kit!$E$5+U13*Kit!$E$10+V13*Kit!$E$8+W13*Kit!$E$12+X13*Kit!$E$13+Y13*Kit!$E$14</f>
        <v>323.3063</v>
      </c>
      <c r="AB13" s="24" t="n">
        <f aca="false">K13*J13/1000</f>
        <v>4.4606</v>
      </c>
      <c r="AC13" s="24" t="n">
        <f aca="false">N13/M13</f>
        <v>4.36791489818944</v>
      </c>
      <c r="AD13" s="8" t="s">
        <v>99</v>
      </c>
    </row>
    <row r="14" customFormat="false" ht="15" hidden="false" customHeight="false" outlineLevel="0" collapsed="false">
      <c r="A14" s="4" t="s">
        <v>107</v>
      </c>
      <c r="B14" s="5" t="s">
        <v>88</v>
      </c>
      <c r="C14" s="19" t="n">
        <v>287</v>
      </c>
      <c r="D14" s="19" t="n">
        <v>415</v>
      </c>
      <c r="E14" s="19" t="n">
        <v>2</v>
      </c>
      <c r="F14" s="5" t="s">
        <v>101</v>
      </c>
      <c r="G14" s="19" t="n">
        <v>0</v>
      </c>
      <c r="H14" s="19" t="n">
        <v>2</v>
      </c>
      <c r="I14" s="19" t="n">
        <v>513</v>
      </c>
      <c r="J14" s="20" t="n">
        <f aca="false">G14+H14+1</f>
        <v>3</v>
      </c>
      <c r="K14" s="21" t="n">
        <f aca="false">2*Parametros!$C$6+(E14-1)*Parametros!$C$7+E14*(D14-Parametros!$C$13)</f>
        <v>892.12</v>
      </c>
      <c r="L14" s="21" t="n">
        <f aca="false">IF(I14&gt;0,K14+2*Parametros!$C$10,K14)</f>
        <v>935.96</v>
      </c>
      <c r="M14" s="21" t="n">
        <f aca="false">C14+2*(Parametros!$C$8-Parametros!$C$5)</f>
        <v>372.26</v>
      </c>
      <c r="N14" s="21" t="n">
        <f aca="false">Parametros!$C$11+(J14+IF(I14&gt;0,1,0))*Parametros!$C$9+G14*(270-Parametros!$C$13)+H14*(513-Parametros!$C$13)+IF(I14&gt;0,I14-Parametros!$C$13,0)</f>
        <v>1607.12</v>
      </c>
      <c r="O14" s="21" t="n">
        <f aca="false">Parametros!$C$11+J14*Parametros!$C$9+G14*(270-Parametros!$C$13)+H14*(513-Parametros!$C$13)+Parametros!$C$12/2</f>
        <v>1109.74</v>
      </c>
      <c r="P14" s="20" t="n">
        <f aca="false">4*J14</f>
        <v>12</v>
      </c>
      <c r="Q14" s="20" t="n">
        <f aca="false">2*(E14-1)*(J14+IF(I14&gt;0,1,0))</f>
        <v>8</v>
      </c>
      <c r="R14" s="20" t="n">
        <f aca="false">IF(I14&gt;0,4,0)</f>
        <v>4</v>
      </c>
      <c r="S14" s="20" t="n">
        <f aca="false">2*(E14+1)</f>
        <v>6</v>
      </c>
      <c r="T14" s="20" t="n">
        <f aca="false">E14*J14</f>
        <v>6</v>
      </c>
      <c r="U14" s="20" t="n">
        <f aca="false">2*E14*J14+IF(I14&gt;0,2*E14,0)</f>
        <v>16</v>
      </c>
      <c r="V14" s="20" t="n">
        <f aca="false">(E14+1)*J14</f>
        <v>9</v>
      </c>
      <c r="W14" s="20" t="n">
        <f aca="false">2*(E14+1)*(G14+IF(I14=270,1,0))</f>
        <v>0</v>
      </c>
      <c r="X14" s="20" t="n">
        <f aca="false">2*(E14+1)*(H14+IF(I14=513,1,0))</f>
        <v>18</v>
      </c>
      <c r="Y14" s="20" t="n">
        <f aca="false">2*(E14+1)</f>
        <v>6</v>
      </c>
      <c r="Z14" s="22" t="n">
        <f aca="false">P14*Kit!$D$15+Q14*Kit!$D$16+R14*Kit!$D$17+S14*Kit!$D$18+T14*Kit!$D$5+U14*Kit!$D$10+V14*Kit!$D$8+W14*Kit!$D$12+X14*Kit!$D$13+Y14*Kit!$D$14</f>
        <v>12.1323</v>
      </c>
      <c r="AA14" s="23" t="n">
        <f aca="false">P14*Kit!$E$15+Q14*Kit!$E$16+R14*Kit!$E$17+S14*Kit!$E$18+T14*Kit!$E$5+U14*Kit!$E$10+V14*Kit!$E$8+W14*Kit!$E$12+X14*Kit!$E$13+Y14*Kit!$E$14</f>
        <v>219.4531</v>
      </c>
      <c r="AB14" s="24" t="n">
        <f aca="false">K14*J14/1000</f>
        <v>2.67636</v>
      </c>
      <c r="AC14" s="24" t="n">
        <f aca="false">N14/M14</f>
        <v>4.31719765755117</v>
      </c>
      <c r="AD14" s="8" t="s">
        <v>102</v>
      </c>
    </row>
    <row r="15" customFormat="false" ht="15" hidden="false" customHeight="false" outlineLevel="0" collapsed="false">
      <c r="A15" s="4" t="s">
        <v>108</v>
      </c>
      <c r="B15" s="5" t="s">
        <v>88</v>
      </c>
      <c r="C15" s="19" t="n">
        <v>287</v>
      </c>
      <c r="D15" s="19" t="n">
        <v>415</v>
      </c>
      <c r="E15" s="19" t="n">
        <v>3</v>
      </c>
      <c r="F15" s="5" t="s">
        <v>89</v>
      </c>
      <c r="G15" s="19" t="n">
        <v>3</v>
      </c>
      <c r="H15" s="19" t="n">
        <v>0</v>
      </c>
      <c r="I15" s="19" t="n">
        <v>0</v>
      </c>
      <c r="J15" s="20" t="n">
        <f aca="false">G15+H15+1</f>
        <v>4</v>
      </c>
      <c r="K15" s="21" t="n">
        <f aca="false">2*Parametros!$C$6+(E15-1)*Parametros!$C$7+E15*(D15-Parametros!$C$13)</f>
        <v>1327.22</v>
      </c>
      <c r="L15" s="21" t="n">
        <f aca="false">IF(I15&gt;0,K15+2*Parametros!$C$10,K15)</f>
        <v>1327.22</v>
      </c>
      <c r="M15" s="21" t="n">
        <f aca="false">C15+2*(Parametros!$C$8-Parametros!$C$5)</f>
        <v>372.26</v>
      </c>
      <c r="N15" s="21" t="n">
        <f aca="false">Parametros!$C$11+(J15+IF(I15&gt;0,1,0))*Parametros!$C$9+G15*(270-Parametros!$C$13)+H15*(513-Parametros!$C$13)+IF(I15&gt;0,I15-Parametros!$C$13,0)</f>
        <v>878.12</v>
      </c>
      <c r="O15" s="21" t="n">
        <f aca="false">Parametros!$C$11+J15*Parametros!$C$9+G15*(270-Parametros!$C$13)+H15*(513-Parametros!$C$13)+Parametros!$C$12/2</f>
        <v>885.62</v>
      </c>
      <c r="P15" s="20" t="n">
        <f aca="false">4*J15</f>
        <v>16</v>
      </c>
      <c r="Q15" s="20" t="n">
        <f aca="false">2*(E15-1)*(J15+IF(I15&gt;0,1,0))</f>
        <v>16</v>
      </c>
      <c r="R15" s="20" t="n">
        <f aca="false">IF(I15&gt;0,4,0)</f>
        <v>0</v>
      </c>
      <c r="S15" s="20" t="n">
        <f aca="false">2*(E15+1)</f>
        <v>8</v>
      </c>
      <c r="T15" s="20" t="n">
        <f aca="false">E15*J15</f>
        <v>12</v>
      </c>
      <c r="U15" s="20" t="n">
        <f aca="false">2*E15*J15+IF(I15&gt;0,2*E15,0)</f>
        <v>24</v>
      </c>
      <c r="V15" s="20" t="n">
        <f aca="false">(E15+1)*J15</f>
        <v>16</v>
      </c>
      <c r="W15" s="20" t="n">
        <f aca="false">2*(E15+1)*(G15+IF(I15=270,1,0))</f>
        <v>24</v>
      </c>
      <c r="X15" s="20" t="n">
        <f aca="false">2*(E15+1)*(H15+IF(I15=513,1,0))</f>
        <v>0</v>
      </c>
      <c r="Y15" s="20" t="n">
        <f aca="false">2*(E15+1)</f>
        <v>8</v>
      </c>
      <c r="Z15" s="22" t="n">
        <f aca="false">P15*Kit!$D$15+Q15*Kit!$D$16+R15*Kit!$D$17+S15*Kit!$D$18+T15*Kit!$D$5+U15*Kit!$D$10+V15*Kit!$D$8+W15*Kit!$D$12+X15*Kit!$D$13+Y15*Kit!$D$14</f>
        <v>20.0012</v>
      </c>
      <c r="AA15" s="23" t="n">
        <f aca="false">P15*Kit!$E$15+Q15*Kit!$E$16+R15*Kit!$E$17+S15*Kit!$E$18+T15*Kit!$E$5+U15*Kit!$E$10+V15*Kit!$E$8+W15*Kit!$E$12+X15*Kit!$E$13+Y15*Kit!$E$14</f>
        <v>363.942</v>
      </c>
      <c r="AB15" s="24" t="n">
        <f aca="false">K15*J15/1000</f>
        <v>5.30888</v>
      </c>
      <c r="AC15" s="24" t="n">
        <f aca="false">N15/M15</f>
        <v>2.35888894858432</v>
      </c>
      <c r="AD15" s="8" t="s">
        <v>90</v>
      </c>
    </row>
    <row r="16" customFormat="false" ht="15" hidden="false" customHeight="false" outlineLevel="0" collapsed="false">
      <c r="A16" s="4" t="s">
        <v>109</v>
      </c>
      <c r="B16" s="5" t="s">
        <v>88</v>
      </c>
      <c r="C16" s="19" t="n">
        <v>287</v>
      </c>
      <c r="D16" s="19" t="n">
        <v>415</v>
      </c>
      <c r="E16" s="19" t="n">
        <v>3</v>
      </c>
      <c r="F16" s="5" t="s">
        <v>92</v>
      </c>
      <c r="G16" s="19" t="n">
        <v>5</v>
      </c>
      <c r="H16" s="19" t="n">
        <v>0</v>
      </c>
      <c r="I16" s="19" t="n">
        <v>0</v>
      </c>
      <c r="J16" s="20" t="n">
        <f aca="false">G16+H16+1</f>
        <v>6</v>
      </c>
      <c r="K16" s="21" t="n">
        <f aca="false">2*Parametros!$C$6+(E16-1)*Parametros!$C$7+E16*(D16-Parametros!$C$13)</f>
        <v>1327.22</v>
      </c>
      <c r="L16" s="21" t="n">
        <f aca="false">IF(I16&gt;0,K16+2*Parametros!$C$10,K16)</f>
        <v>1327.22</v>
      </c>
      <c r="M16" s="21" t="n">
        <f aca="false">C16+2*(Parametros!$C$8-Parametros!$C$5)</f>
        <v>372.26</v>
      </c>
      <c r="N16" s="21" t="n">
        <f aca="false">Parametros!$C$11+(J16+IF(I16&gt;0,1,0))*Parametros!$C$9+G16*(270-Parametros!$C$13)+H16*(513-Parametros!$C$13)+IF(I16&gt;0,I16-Parametros!$C$13,0)</f>
        <v>1401.88</v>
      </c>
      <c r="O16" s="21" t="n">
        <f aca="false">Parametros!$C$11+J16*Parametros!$C$9+G16*(270-Parametros!$C$13)+H16*(513-Parametros!$C$13)+Parametros!$C$12/2</f>
        <v>1409.38</v>
      </c>
      <c r="P16" s="20" t="n">
        <f aca="false">4*J16</f>
        <v>24</v>
      </c>
      <c r="Q16" s="20" t="n">
        <f aca="false">2*(E16-1)*(J16+IF(I16&gt;0,1,0))</f>
        <v>24</v>
      </c>
      <c r="R16" s="20" t="n">
        <f aca="false">IF(I16&gt;0,4,0)</f>
        <v>0</v>
      </c>
      <c r="S16" s="20" t="n">
        <f aca="false">2*(E16+1)</f>
        <v>8</v>
      </c>
      <c r="T16" s="20" t="n">
        <f aca="false">E16*J16</f>
        <v>18</v>
      </c>
      <c r="U16" s="20" t="n">
        <f aca="false">2*E16*J16+IF(I16&gt;0,2*E16,0)</f>
        <v>36</v>
      </c>
      <c r="V16" s="20" t="n">
        <f aca="false">(E16+1)*J16</f>
        <v>24</v>
      </c>
      <c r="W16" s="20" t="n">
        <f aca="false">2*(E16+1)*(G16+IF(I16=270,1,0))</f>
        <v>40</v>
      </c>
      <c r="X16" s="20" t="n">
        <f aca="false">2*(E16+1)*(H16+IF(I16=513,1,0))</f>
        <v>0</v>
      </c>
      <c r="Y16" s="20" t="n">
        <f aca="false">2*(E16+1)</f>
        <v>8</v>
      </c>
      <c r="Z16" s="22" t="n">
        <f aca="false">P16*Kit!$D$15+Q16*Kit!$D$16+R16*Kit!$D$17+S16*Kit!$D$18+T16*Kit!$D$5+U16*Kit!$D$10+V16*Kit!$D$8+W16*Kit!$D$12+X16*Kit!$D$13+Y16*Kit!$D$14</f>
        <v>30.1874</v>
      </c>
      <c r="AA16" s="23" t="n">
        <f aca="false">P16*Kit!$E$15+Q16*Kit!$E$16+R16*Kit!$E$17+S16*Kit!$E$18+T16*Kit!$E$5+U16*Kit!$E$10+V16*Kit!$E$8+W16*Kit!$E$12+X16*Kit!$E$13+Y16*Kit!$E$14</f>
        <v>549.491</v>
      </c>
      <c r="AB16" s="24" t="n">
        <f aca="false">K16*J16/1000</f>
        <v>7.96332</v>
      </c>
      <c r="AC16" s="24" t="n">
        <f aca="false">N16/M16</f>
        <v>3.76586256917208</v>
      </c>
      <c r="AD16" s="8" t="s">
        <v>93</v>
      </c>
    </row>
    <row r="17" customFormat="false" ht="15" hidden="false" customHeight="false" outlineLevel="0" collapsed="false">
      <c r="A17" s="4" t="s">
        <v>110</v>
      </c>
      <c r="B17" s="5" t="s">
        <v>88</v>
      </c>
      <c r="C17" s="19" t="n">
        <v>287</v>
      </c>
      <c r="D17" s="19" t="n">
        <v>415</v>
      </c>
      <c r="E17" s="19" t="n">
        <v>3</v>
      </c>
      <c r="F17" s="5" t="s">
        <v>95</v>
      </c>
      <c r="G17" s="19" t="n">
        <v>6</v>
      </c>
      <c r="H17" s="19" t="n">
        <v>0</v>
      </c>
      <c r="I17" s="19" t="n">
        <v>0</v>
      </c>
      <c r="J17" s="20" t="n">
        <f aca="false">G17+H17+1</f>
        <v>7</v>
      </c>
      <c r="K17" s="21" t="n">
        <f aca="false">2*Parametros!$C$6+(E17-1)*Parametros!$C$7+E17*(D17-Parametros!$C$13)</f>
        <v>1327.22</v>
      </c>
      <c r="L17" s="21" t="n">
        <f aca="false">IF(I17&gt;0,K17+2*Parametros!$C$10,K17)</f>
        <v>1327.22</v>
      </c>
      <c r="M17" s="21" t="n">
        <f aca="false">C17+2*(Parametros!$C$8-Parametros!$C$5)</f>
        <v>372.26</v>
      </c>
      <c r="N17" s="21" t="n">
        <f aca="false">Parametros!$C$11+(J17+IF(I17&gt;0,1,0))*Parametros!$C$9+G17*(270-Parametros!$C$13)+H17*(513-Parametros!$C$13)+IF(I17&gt;0,I17-Parametros!$C$13,0)</f>
        <v>1663.76</v>
      </c>
      <c r="O17" s="21" t="n">
        <f aca="false">Parametros!$C$11+J17*Parametros!$C$9+G17*(270-Parametros!$C$13)+H17*(513-Parametros!$C$13)+Parametros!$C$12/2</f>
        <v>1671.26</v>
      </c>
      <c r="P17" s="20" t="n">
        <f aca="false">4*J17</f>
        <v>28</v>
      </c>
      <c r="Q17" s="20" t="n">
        <f aca="false">2*(E17-1)*(J17+IF(I17&gt;0,1,0))</f>
        <v>28</v>
      </c>
      <c r="R17" s="20" t="n">
        <f aca="false">IF(I17&gt;0,4,0)</f>
        <v>0</v>
      </c>
      <c r="S17" s="20" t="n">
        <f aca="false">2*(E17+1)</f>
        <v>8</v>
      </c>
      <c r="T17" s="20" t="n">
        <f aca="false">E17*J17</f>
        <v>21</v>
      </c>
      <c r="U17" s="20" t="n">
        <f aca="false">2*E17*J17+IF(I17&gt;0,2*E17,0)</f>
        <v>42</v>
      </c>
      <c r="V17" s="20" t="n">
        <f aca="false">(E17+1)*J17</f>
        <v>28</v>
      </c>
      <c r="W17" s="20" t="n">
        <f aca="false">2*(E17+1)*(G17+IF(I17=270,1,0))</f>
        <v>48</v>
      </c>
      <c r="X17" s="20" t="n">
        <f aca="false">2*(E17+1)*(H17+IF(I17=513,1,0))</f>
        <v>0</v>
      </c>
      <c r="Y17" s="20" t="n">
        <f aca="false">2*(E17+1)</f>
        <v>8</v>
      </c>
      <c r="Z17" s="22" t="n">
        <f aca="false">P17*Kit!$D$15+Q17*Kit!$D$16+R17*Kit!$D$17+S17*Kit!$D$18+T17*Kit!$D$5+U17*Kit!$D$10+V17*Kit!$D$8+W17*Kit!$D$12+X17*Kit!$D$13+Y17*Kit!$D$14</f>
        <v>35.2805</v>
      </c>
      <c r="AA17" s="23" t="n">
        <f aca="false">P17*Kit!$E$15+Q17*Kit!$E$16+R17*Kit!$E$17+S17*Kit!$E$18+T17*Kit!$E$5+U17*Kit!$E$10+V17*Kit!$E$8+W17*Kit!$E$12+X17*Kit!$E$13+Y17*Kit!$E$14</f>
        <v>642.2655</v>
      </c>
      <c r="AB17" s="24" t="n">
        <f aca="false">K17*J17/1000</f>
        <v>9.29054</v>
      </c>
      <c r="AC17" s="24" t="n">
        <f aca="false">N17/M17</f>
        <v>4.46934937946597</v>
      </c>
      <c r="AD17" s="8" t="s">
        <v>96</v>
      </c>
    </row>
    <row r="18" customFormat="false" ht="15" hidden="false" customHeight="false" outlineLevel="0" collapsed="false">
      <c r="A18" s="4" t="s">
        <v>111</v>
      </c>
      <c r="B18" s="5" t="s">
        <v>88</v>
      </c>
      <c r="C18" s="19" t="n">
        <v>287</v>
      </c>
      <c r="D18" s="19" t="n">
        <v>415</v>
      </c>
      <c r="E18" s="19" t="n">
        <v>3</v>
      </c>
      <c r="F18" s="5" t="s">
        <v>98</v>
      </c>
      <c r="G18" s="19" t="n">
        <v>2</v>
      </c>
      <c r="H18" s="19" t="n">
        <v>2</v>
      </c>
      <c r="I18" s="19" t="n">
        <v>0</v>
      </c>
      <c r="J18" s="20" t="n">
        <f aca="false">G18+H18+1</f>
        <v>5</v>
      </c>
      <c r="K18" s="21" t="n">
        <f aca="false">2*Parametros!$C$6+(E18-1)*Parametros!$C$7+E18*(D18-Parametros!$C$13)</f>
        <v>1327.22</v>
      </c>
      <c r="L18" s="21" t="n">
        <f aca="false">IF(I18&gt;0,K18+2*Parametros!$C$10,K18)</f>
        <v>1327.22</v>
      </c>
      <c r="M18" s="21" t="n">
        <f aca="false">C18+2*(Parametros!$C$8-Parametros!$C$5)</f>
        <v>372.26</v>
      </c>
      <c r="N18" s="21" t="n">
        <f aca="false">Parametros!$C$11+(J18+IF(I18&gt;0,1,0))*Parametros!$C$9+G18*(270-Parametros!$C$13)+H18*(513-Parametros!$C$13)+IF(I18&gt;0,I18-Parametros!$C$13,0)</f>
        <v>1626</v>
      </c>
      <c r="O18" s="21" t="n">
        <f aca="false">Parametros!$C$11+J18*Parametros!$C$9+G18*(270-Parametros!$C$13)+H18*(513-Parametros!$C$13)+Parametros!$C$12/2</f>
        <v>1633.5</v>
      </c>
      <c r="P18" s="20" t="n">
        <f aca="false">4*J18</f>
        <v>20</v>
      </c>
      <c r="Q18" s="20" t="n">
        <f aca="false">2*(E18-1)*(J18+IF(I18&gt;0,1,0))</f>
        <v>20</v>
      </c>
      <c r="R18" s="20" t="n">
        <f aca="false">IF(I18&gt;0,4,0)</f>
        <v>0</v>
      </c>
      <c r="S18" s="20" t="n">
        <f aca="false">2*(E18+1)</f>
        <v>8</v>
      </c>
      <c r="T18" s="20" t="n">
        <f aca="false">E18*J18</f>
        <v>15</v>
      </c>
      <c r="U18" s="20" t="n">
        <f aca="false">2*E18*J18+IF(I18&gt;0,2*E18,0)</f>
        <v>30</v>
      </c>
      <c r="V18" s="20" t="n">
        <f aca="false">(E18+1)*J18</f>
        <v>20</v>
      </c>
      <c r="W18" s="20" t="n">
        <f aca="false">2*(E18+1)*(G18+IF(I18=270,1,0))</f>
        <v>16</v>
      </c>
      <c r="X18" s="20" t="n">
        <f aca="false">2*(E18+1)*(H18+IF(I18=513,1,0))</f>
        <v>16</v>
      </c>
      <c r="Y18" s="20" t="n">
        <f aca="false">2*(E18+1)</f>
        <v>8</v>
      </c>
      <c r="Z18" s="22" t="n">
        <f aca="false">P18*Kit!$D$15+Q18*Kit!$D$16+R18*Kit!$D$17+S18*Kit!$D$18+T18*Kit!$D$5+U18*Kit!$D$10+V18*Kit!$D$8+W18*Kit!$D$12+X18*Kit!$D$13+Y18*Kit!$D$14</f>
        <v>25.9743</v>
      </c>
      <c r="AA18" s="23" t="n">
        <f aca="false">P18*Kit!$E$15+Q18*Kit!$E$16+R18*Kit!$E$17+S18*Kit!$E$18+T18*Kit!$E$5+U18*Kit!$E$10+V18*Kit!$E$8+W18*Kit!$E$12+X18*Kit!$E$13+Y18*Kit!$E$14</f>
        <v>473.4589</v>
      </c>
      <c r="AB18" s="24" t="n">
        <f aca="false">K18*J18/1000</f>
        <v>6.6361</v>
      </c>
      <c r="AC18" s="24" t="n">
        <f aca="false">N18/M18</f>
        <v>4.36791489818944</v>
      </c>
      <c r="AD18" s="8" t="s">
        <v>99</v>
      </c>
    </row>
    <row r="19" customFormat="false" ht="15" hidden="false" customHeight="false" outlineLevel="0" collapsed="false">
      <c r="A19" s="4" t="s">
        <v>112</v>
      </c>
      <c r="B19" s="5" t="s">
        <v>88</v>
      </c>
      <c r="C19" s="19" t="n">
        <v>287</v>
      </c>
      <c r="D19" s="19" t="n">
        <v>415</v>
      </c>
      <c r="E19" s="19" t="n">
        <v>3</v>
      </c>
      <c r="F19" s="5" t="s">
        <v>101</v>
      </c>
      <c r="G19" s="19" t="n">
        <v>0</v>
      </c>
      <c r="H19" s="19" t="n">
        <v>2</v>
      </c>
      <c r="I19" s="19" t="n">
        <v>513</v>
      </c>
      <c r="J19" s="20" t="n">
        <f aca="false">G19+H19+1</f>
        <v>3</v>
      </c>
      <c r="K19" s="21" t="n">
        <f aca="false">2*Parametros!$C$6+(E19-1)*Parametros!$C$7+E19*(D19-Parametros!$C$13)</f>
        <v>1327.22</v>
      </c>
      <c r="L19" s="21" t="n">
        <f aca="false">IF(I19&gt;0,K19+2*Parametros!$C$10,K19)</f>
        <v>1371.06</v>
      </c>
      <c r="M19" s="21" t="n">
        <f aca="false">C19+2*(Parametros!$C$8-Parametros!$C$5)</f>
        <v>372.26</v>
      </c>
      <c r="N19" s="21" t="n">
        <f aca="false">Parametros!$C$11+(J19+IF(I19&gt;0,1,0))*Parametros!$C$9+G19*(270-Parametros!$C$13)+H19*(513-Parametros!$C$13)+IF(I19&gt;0,I19-Parametros!$C$13,0)</f>
        <v>1607.12</v>
      </c>
      <c r="O19" s="21" t="n">
        <f aca="false">Parametros!$C$11+J19*Parametros!$C$9+G19*(270-Parametros!$C$13)+H19*(513-Parametros!$C$13)+Parametros!$C$12/2</f>
        <v>1109.74</v>
      </c>
      <c r="P19" s="20" t="n">
        <f aca="false">4*J19</f>
        <v>12</v>
      </c>
      <c r="Q19" s="20" t="n">
        <f aca="false">2*(E19-1)*(J19+IF(I19&gt;0,1,0))</f>
        <v>16</v>
      </c>
      <c r="R19" s="20" t="n">
        <f aca="false">IF(I19&gt;0,4,0)</f>
        <v>4</v>
      </c>
      <c r="S19" s="20" t="n">
        <f aca="false">2*(E19+1)</f>
        <v>8</v>
      </c>
      <c r="T19" s="20" t="n">
        <f aca="false">E19*J19</f>
        <v>9</v>
      </c>
      <c r="U19" s="20" t="n">
        <f aca="false">2*E19*J19+IF(I19&gt;0,2*E19,0)</f>
        <v>24</v>
      </c>
      <c r="V19" s="20" t="n">
        <f aca="false">(E19+1)*J19</f>
        <v>12</v>
      </c>
      <c r="W19" s="20" t="n">
        <f aca="false">2*(E19+1)*(G19+IF(I19=270,1,0))</f>
        <v>0</v>
      </c>
      <c r="X19" s="20" t="n">
        <f aca="false">2*(E19+1)*(H19+IF(I19=513,1,0))</f>
        <v>24</v>
      </c>
      <c r="Y19" s="20" t="n">
        <f aca="false">2*(E19+1)</f>
        <v>8</v>
      </c>
      <c r="Z19" s="22" t="n">
        <f aca="false">P19*Kit!$D$15+Q19*Kit!$D$16+R19*Kit!$D$17+S19*Kit!$D$18+T19*Kit!$D$5+U19*Kit!$D$10+V19*Kit!$D$8+W19*Kit!$D$12+X19*Kit!$D$13+Y19*Kit!$D$14</f>
        <v>17.6347</v>
      </c>
      <c r="AA19" s="23" t="n">
        <f aca="false">P19*Kit!$E$15+Q19*Kit!$E$16+R19*Kit!$E$17+S19*Kit!$E$18+T19*Kit!$E$5+U19*Kit!$E$10+V19*Kit!$E$8+W19*Kit!$E$12+X19*Kit!$E$13+Y19*Kit!$E$14</f>
        <v>319.4855</v>
      </c>
      <c r="AB19" s="24" t="n">
        <f aca="false">K19*J19/1000</f>
        <v>3.98166</v>
      </c>
      <c r="AC19" s="24" t="n">
        <f aca="false">N19/M19</f>
        <v>4.31719765755117</v>
      </c>
      <c r="AD19" s="8" t="s">
        <v>102</v>
      </c>
    </row>
    <row r="20" customFormat="false" ht="15" hidden="false" customHeight="false" outlineLevel="0" collapsed="false">
      <c r="A20" s="10" t="s">
        <v>113</v>
      </c>
      <c r="B20" s="11" t="s">
        <v>114</v>
      </c>
      <c r="C20" s="12" t="n">
        <v>287</v>
      </c>
      <c r="D20" s="12" t="n">
        <v>717</v>
      </c>
      <c r="E20" s="12" t="n">
        <v>1</v>
      </c>
      <c r="F20" s="11" t="s">
        <v>89</v>
      </c>
      <c r="G20" s="12" t="n">
        <v>3</v>
      </c>
      <c r="H20" s="12" t="n">
        <v>0</v>
      </c>
      <c r="I20" s="12" t="n">
        <v>0</v>
      </c>
      <c r="J20" s="13" t="n">
        <f aca="false">G20+H20+1</f>
        <v>4</v>
      </c>
      <c r="K20" s="14" t="n">
        <f aca="false">2*Parametros!$C$6+(E20-1)*Parametros!$C$7+E20*(D20-Parametros!$C$13)</f>
        <v>759.02</v>
      </c>
      <c r="L20" s="14" t="n">
        <f aca="false">IF(I20&gt;0,K20+2*Parametros!$C$10,K20)</f>
        <v>759.02</v>
      </c>
      <c r="M20" s="14" t="n">
        <f aca="false">C20+2*(Parametros!$C$8-Parametros!$C$5)</f>
        <v>372.26</v>
      </c>
      <c r="N20" s="14" t="n">
        <f aca="false">Parametros!$C$11+(J20+IF(I20&gt;0,1,0))*Parametros!$C$9+G20*(270-Parametros!$C$13)+H20*(513-Parametros!$C$13)+IF(I20&gt;0,I20-Parametros!$C$13,0)</f>
        <v>878.12</v>
      </c>
      <c r="O20" s="14" t="n">
        <f aca="false">Parametros!$C$11+J20*Parametros!$C$9+G20*(270-Parametros!$C$13)+H20*(513-Parametros!$C$13)+Parametros!$C$12/2</f>
        <v>885.62</v>
      </c>
      <c r="P20" s="13" t="n">
        <f aca="false">4*J20</f>
        <v>16</v>
      </c>
      <c r="Q20" s="13" t="n">
        <f aca="false">2*(E20-1)*(J20+IF(I20&gt;0,1,0))</f>
        <v>0</v>
      </c>
      <c r="R20" s="13" t="n">
        <f aca="false">IF(I20&gt;0,4,0)</f>
        <v>0</v>
      </c>
      <c r="S20" s="13" t="n">
        <f aca="false">2*(E20+1)</f>
        <v>4</v>
      </c>
      <c r="T20" s="13" t="n">
        <f aca="false">E20*J20</f>
        <v>4</v>
      </c>
      <c r="U20" s="13" t="n">
        <f aca="false">2*E20*J20+IF(I20&gt;0,2*E20,0)</f>
        <v>8</v>
      </c>
      <c r="V20" s="13" t="n">
        <f aca="false">(E20+1)*J20</f>
        <v>8</v>
      </c>
      <c r="W20" s="13" t="n">
        <f aca="false">2*(E20+1)*(G20+IF(I20=270,1,0))</f>
        <v>12</v>
      </c>
      <c r="X20" s="13" t="n">
        <f aca="false">2*(E20+1)*(H20+IF(I20=513,1,0))</f>
        <v>0</v>
      </c>
      <c r="Y20" s="13" t="n">
        <f aca="false">2*(E20+1)</f>
        <v>4</v>
      </c>
      <c r="Z20" s="15" t="n">
        <f aca="false">P20*Kit!$D$15+Q20*Kit!$D$16+R20*Kit!$D$17+S20*Kit!$D$18+T20*Kit!$D$6+U20*Kit!$D$11+V20*Kit!$D$8+W20*Kit!$D$12+X20*Kit!$D$13+Y20*Kit!$D$14</f>
        <v>10.8636</v>
      </c>
      <c r="AA20" s="16" t="n">
        <f aca="false">P20*Kit!$E$15+Q20*Kit!$E$16+R20*Kit!$E$17+S20*Kit!$E$18+T20*Kit!$E$6+U20*Kit!$E$11+V20*Kit!$E$8+W20*Kit!$E$12+X20*Kit!$E$13+Y20*Kit!$E$14</f>
        <v>199.4116</v>
      </c>
      <c r="AB20" s="17" t="n">
        <f aca="false">K20*J20/1000</f>
        <v>3.03608</v>
      </c>
      <c r="AC20" s="17" t="n">
        <f aca="false">N20/M20</f>
        <v>2.35888894858432</v>
      </c>
      <c r="AD20" s="18" t="s">
        <v>90</v>
      </c>
    </row>
    <row r="21" customFormat="false" ht="15" hidden="false" customHeight="false" outlineLevel="0" collapsed="false">
      <c r="A21" s="10" t="s">
        <v>115</v>
      </c>
      <c r="B21" s="11" t="s">
        <v>114</v>
      </c>
      <c r="C21" s="12" t="n">
        <v>287</v>
      </c>
      <c r="D21" s="12" t="n">
        <v>717</v>
      </c>
      <c r="E21" s="12" t="n">
        <v>1</v>
      </c>
      <c r="F21" s="11" t="s">
        <v>92</v>
      </c>
      <c r="G21" s="12" t="n">
        <v>5</v>
      </c>
      <c r="H21" s="12" t="n">
        <v>0</v>
      </c>
      <c r="I21" s="12" t="n">
        <v>0</v>
      </c>
      <c r="J21" s="13" t="n">
        <f aca="false">G21+H21+1</f>
        <v>6</v>
      </c>
      <c r="K21" s="14" t="n">
        <f aca="false">2*Parametros!$C$6+(E21-1)*Parametros!$C$7+E21*(D21-Parametros!$C$13)</f>
        <v>759.02</v>
      </c>
      <c r="L21" s="14" t="n">
        <f aca="false">IF(I21&gt;0,K21+2*Parametros!$C$10,K21)</f>
        <v>759.02</v>
      </c>
      <c r="M21" s="14" t="n">
        <f aca="false">C21+2*(Parametros!$C$8-Parametros!$C$5)</f>
        <v>372.26</v>
      </c>
      <c r="N21" s="14" t="n">
        <f aca="false">Parametros!$C$11+(J21+IF(I21&gt;0,1,0))*Parametros!$C$9+G21*(270-Parametros!$C$13)+H21*(513-Parametros!$C$13)+IF(I21&gt;0,I21-Parametros!$C$13,0)</f>
        <v>1401.88</v>
      </c>
      <c r="O21" s="14" t="n">
        <f aca="false">Parametros!$C$11+J21*Parametros!$C$9+G21*(270-Parametros!$C$13)+H21*(513-Parametros!$C$13)+Parametros!$C$12/2</f>
        <v>1409.38</v>
      </c>
      <c r="P21" s="13" t="n">
        <f aca="false">4*J21</f>
        <v>24</v>
      </c>
      <c r="Q21" s="13" t="n">
        <f aca="false">2*(E21-1)*(J21+IF(I21&gt;0,1,0))</f>
        <v>0</v>
      </c>
      <c r="R21" s="13" t="n">
        <f aca="false">IF(I21&gt;0,4,0)</f>
        <v>0</v>
      </c>
      <c r="S21" s="13" t="n">
        <f aca="false">2*(E21+1)</f>
        <v>4</v>
      </c>
      <c r="T21" s="13" t="n">
        <f aca="false">E21*J21</f>
        <v>6</v>
      </c>
      <c r="U21" s="13" t="n">
        <f aca="false">2*E21*J21+IF(I21&gt;0,2*E21,0)</f>
        <v>12</v>
      </c>
      <c r="V21" s="13" t="n">
        <f aca="false">(E21+1)*J21</f>
        <v>12</v>
      </c>
      <c r="W21" s="13" t="n">
        <f aca="false">2*(E21+1)*(G21+IF(I21=270,1,0))</f>
        <v>20</v>
      </c>
      <c r="X21" s="13" t="n">
        <f aca="false">2*(E21+1)*(H21+IF(I21=513,1,0))</f>
        <v>0</v>
      </c>
      <c r="Y21" s="13" t="n">
        <f aca="false">2*(E21+1)</f>
        <v>4</v>
      </c>
      <c r="Z21" s="15" t="n">
        <f aca="false">P21*Kit!$D$15+Q21*Kit!$D$16+R21*Kit!$D$17+S21*Kit!$D$18+T21*Kit!$D$6+U21*Kit!$D$11+V21*Kit!$D$8+W21*Kit!$D$12+X21*Kit!$D$13+Y21*Kit!$D$14</f>
        <v>16.3882</v>
      </c>
      <c r="AA21" s="16" t="n">
        <f aca="false">P21*Kit!$E$15+Q21*Kit!$E$16+R21*Kit!$E$17+S21*Kit!$E$18+T21*Kit!$E$6+U21*Kit!$E$11+V21*Kit!$E$8+W21*Kit!$E$12+X21*Kit!$E$13+Y21*Kit!$E$14</f>
        <v>300.9064</v>
      </c>
      <c r="AB21" s="17" t="n">
        <f aca="false">K21*J21/1000</f>
        <v>4.55412</v>
      </c>
      <c r="AC21" s="17" t="n">
        <f aca="false">N21/M21</f>
        <v>3.76586256917208</v>
      </c>
      <c r="AD21" s="18" t="s">
        <v>93</v>
      </c>
    </row>
    <row r="22" customFormat="false" ht="15" hidden="false" customHeight="false" outlineLevel="0" collapsed="false">
      <c r="A22" s="10" t="s">
        <v>116</v>
      </c>
      <c r="B22" s="11" t="s">
        <v>114</v>
      </c>
      <c r="C22" s="12" t="n">
        <v>287</v>
      </c>
      <c r="D22" s="12" t="n">
        <v>717</v>
      </c>
      <c r="E22" s="12" t="n">
        <v>1</v>
      </c>
      <c r="F22" s="11" t="s">
        <v>95</v>
      </c>
      <c r="G22" s="12" t="n">
        <v>6</v>
      </c>
      <c r="H22" s="12" t="n">
        <v>0</v>
      </c>
      <c r="I22" s="12" t="n">
        <v>0</v>
      </c>
      <c r="J22" s="13" t="n">
        <f aca="false">G22+H22+1</f>
        <v>7</v>
      </c>
      <c r="K22" s="14" t="n">
        <f aca="false">2*Parametros!$C$6+(E22-1)*Parametros!$C$7+E22*(D22-Parametros!$C$13)</f>
        <v>759.02</v>
      </c>
      <c r="L22" s="14" t="n">
        <f aca="false">IF(I22&gt;0,K22+2*Parametros!$C$10,K22)</f>
        <v>759.02</v>
      </c>
      <c r="M22" s="14" t="n">
        <f aca="false">C22+2*(Parametros!$C$8-Parametros!$C$5)</f>
        <v>372.26</v>
      </c>
      <c r="N22" s="14" t="n">
        <f aca="false">Parametros!$C$11+(J22+IF(I22&gt;0,1,0))*Parametros!$C$9+G22*(270-Parametros!$C$13)+H22*(513-Parametros!$C$13)+IF(I22&gt;0,I22-Parametros!$C$13,0)</f>
        <v>1663.76</v>
      </c>
      <c r="O22" s="14" t="n">
        <f aca="false">Parametros!$C$11+J22*Parametros!$C$9+G22*(270-Parametros!$C$13)+H22*(513-Parametros!$C$13)+Parametros!$C$12/2</f>
        <v>1671.26</v>
      </c>
      <c r="P22" s="13" t="n">
        <f aca="false">4*J22</f>
        <v>28</v>
      </c>
      <c r="Q22" s="13" t="n">
        <f aca="false">2*(E22-1)*(J22+IF(I22&gt;0,1,0))</f>
        <v>0</v>
      </c>
      <c r="R22" s="13" t="n">
        <f aca="false">IF(I22&gt;0,4,0)</f>
        <v>0</v>
      </c>
      <c r="S22" s="13" t="n">
        <f aca="false">2*(E22+1)</f>
        <v>4</v>
      </c>
      <c r="T22" s="13" t="n">
        <f aca="false">E22*J22</f>
        <v>7</v>
      </c>
      <c r="U22" s="13" t="n">
        <f aca="false">2*E22*J22+IF(I22&gt;0,2*E22,0)</f>
        <v>14</v>
      </c>
      <c r="V22" s="13" t="n">
        <f aca="false">(E22+1)*J22</f>
        <v>14</v>
      </c>
      <c r="W22" s="13" t="n">
        <f aca="false">2*(E22+1)*(G22+IF(I22=270,1,0))</f>
        <v>24</v>
      </c>
      <c r="X22" s="13" t="n">
        <f aca="false">2*(E22+1)*(H22+IF(I22=513,1,0))</f>
        <v>0</v>
      </c>
      <c r="Y22" s="13" t="n">
        <f aca="false">2*(E22+1)</f>
        <v>4</v>
      </c>
      <c r="Z22" s="15" t="n">
        <f aca="false">P22*Kit!$D$15+Q22*Kit!$D$16+R22*Kit!$D$17+S22*Kit!$D$18+T22*Kit!$D$6+U22*Kit!$D$11+V22*Kit!$D$8+W22*Kit!$D$12+X22*Kit!$D$13+Y22*Kit!$D$14</f>
        <v>19.1505</v>
      </c>
      <c r="AA22" s="16" t="n">
        <f aca="false">P22*Kit!$E$15+Q22*Kit!$E$16+R22*Kit!$E$17+S22*Kit!$E$18+T22*Kit!$E$6+U22*Kit!$E$11+V22*Kit!$E$8+W22*Kit!$E$12+X22*Kit!$E$13+Y22*Kit!$E$14</f>
        <v>351.6538</v>
      </c>
      <c r="AB22" s="17" t="n">
        <f aca="false">K22*J22/1000</f>
        <v>5.31314</v>
      </c>
      <c r="AC22" s="17" t="n">
        <f aca="false">N22/M22</f>
        <v>4.46934937946597</v>
      </c>
      <c r="AD22" s="18" t="s">
        <v>96</v>
      </c>
    </row>
    <row r="23" customFormat="false" ht="15" hidden="false" customHeight="false" outlineLevel="0" collapsed="false">
      <c r="A23" s="10" t="s">
        <v>117</v>
      </c>
      <c r="B23" s="11" t="s">
        <v>114</v>
      </c>
      <c r="C23" s="12" t="n">
        <v>287</v>
      </c>
      <c r="D23" s="12" t="n">
        <v>717</v>
      </c>
      <c r="E23" s="12" t="n">
        <v>1</v>
      </c>
      <c r="F23" s="11" t="s">
        <v>98</v>
      </c>
      <c r="G23" s="12" t="n">
        <v>2</v>
      </c>
      <c r="H23" s="12" t="n">
        <v>2</v>
      </c>
      <c r="I23" s="12" t="n">
        <v>0</v>
      </c>
      <c r="J23" s="13" t="n">
        <f aca="false">G23+H23+1</f>
        <v>5</v>
      </c>
      <c r="K23" s="14" t="n">
        <f aca="false">2*Parametros!$C$6+(E23-1)*Parametros!$C$7+E23*(D23-Parametros!$C$13)</f>
        <v>759.02</v>
      </c>
      <c r="L23" s="14" t="n">
        <f aca="false">IF(I23&gt;0,K23+2*Parametros!$C$10,K23)</f>
        <v>759.02</v>
      </c>
      <c r="M23" s="14" t="n">
        <f aca="false">C23+2*(Parametros!$C$8-Parametros!$C$5)</f>
        <v>372.26</v>
      </c>
      <c r="N23" s="14" t="n">
        <f aca="false">Parametros!$C$11+(J23+IF(I23&gt;0,1,0))*Parametros!$C$9+G23*(270-Parametros!$C$13)+H23*(513-Parametros!$C$13)+IF(I23&gt;0,I23-Parametros!$C$13,0)</f>
        <v>1626</v>
      </c>
      <c r="O23" s="14" t="n">
        <f aca="false">Parametros!$C$11+J23*Parametros!$C$9+G23*(270-Parametros!$C$13)+H23*(513-Parametros!$C$13)+Parametros!$C$12/2</f>
        <v>1633.5</v>
      </c>
      <c r="P23" s="13" t="n">
        <f aca="false">4*J23</f>
        <v>20</v>
      </c>
      <c r="Q23" s="13" t="n">
        <f aca="false">2*(E23-1)*(J23+IF(I23&gt;0,1,0))</f>
        <v>0</v>
      </c>
      <c r="R23" s="13" t="n">
        <f aca="false">IF(I23&gt;0,4,0)</f>
        <v>0</v>
      </c>
      <c r="S23" s="13" t="n">
        <f aca="false">2*(E23+1)</f>
        <v>4</v>
      </c>
      <c r="T23" s="13" t="n">
        <f aca="false">E23*J23</f>
        <v>5</v>
      </c>
      <c r="U23" s="13" t="n">
        <f aca="false">2*E23*J23+IF(I23&gt;0,2*E23,0)</f>
        <v>10</v>
      </c>
      <c r="V23" s="13" t="n">
        <f aca="false">(E23+1)*J23</f>
        <v>10</v>
      </c>
      <c r="W23" s="13" t="n">
        <f aca="false">2*(E23+1)*(G23+IF(I23=270,1,0))</f>
        <v>8</v>
      </c>
      <c r="X23" s="13" t="n">
        <f aca="false">2*(E23+1)*(H23+IF(I23=513,1,0))</f>
        <v>8</v>
      </c>
      <c r="Y23" s="13" t="n">
        <f aca="false">2*(E23+1)</f>
        <v>4</v>
      </c>
      <c r="Z23" s="15" t="n">
        <f aca="false">P23*Kit!$D$15+Q23*Kit!$D$16+R23*Kit!$D$17+S23*Kit!$D$18+T23*Kit!$D$6+U23*Kit!$D$11+V23*Kit!$D$8+W23*Kit!$D$12+X23*Kit!$D$13+Y23*Kit!$D$14</f>
        <v>14.0659</v>
      </c>
      <c r="AA23" s="16" t="n">
        <f aca="false">P23*Kit!$E$15+Q23*Kit!$E$16+R23*Kit!$E$17+S23*Kit!$E$18+T23*Kit!$E$6+U23*Kit!$E$11+V23*Kit!$E$8+W23*Kit!$E$12+X23*Kit!$E$13+Y23*Kit!$E$14</f>
        <v>258.5302</v>
      </c>
      <c r="AB23" s="17" t="n">
        <f aca="false">K23*J23/1000</f>
        <v>3.7951</v>
      </c>
      <c r="AC23" s="17" t="n">
        <f aca="false">N23/M23</f>
        <v>4.36791489818944</v>
      </c>
      <c r="AD23" s="18" t="s">
        <v>99</v>
      </c>
    </row>
    <row r="24" customFormat="false" ht="15" hidden="false" customHeight="false" outlineLevel="0" collapsed="false">
      <c r="A24" s="10" t="s">
        <v>118</v>
      </c>
      <c r="B24" s="11" t="s">
        <v>114</v>
      </c>
      <c r="C24" s="12" t="n">
        <v>287</v>
      </c>
      <c r="D24" s="12" t="n">
        <v>717</v>
      </c>
      <c r="E24" s="12" t="n">
        <v>1</v>
      </c>
      <c r="F24" s="11" t="s">
        <v>101</v>
      </c>
      <c r="G24" s="12" t="n">
        <v>0</v>
      </c>
      <c r="H24" s="12" t="n">
        <v>2</v>
      </c>
      <c r="I24" s="12" t="n">
        <v>513</v>
      </c>
      <c r="J24" s="13" t="n">
        <f aca="false">G24+H24+1</f>
        <v>3</v>
      </c>
      <c r="K24" s="14" t="n">
        <f aca="false">2*Parametros!$C$6+(E24-1)*Parametros!$C$7+E24*(D24-Parametros!$C$13)</f>
        <v>759.02</v>
      </c>
      <c r="L24" s="14" t="n">
        <f aca="false">IF(I24&gt;0,K24+2*Parametros!$C$10,K24)</f>
        <v>802.86</v>
      </c>
      <c r="M24" s="14" t="n">
        <f aca="false">C24+2*(Parametros!$C$8-Parametros!$C$5)</f>
        <v>372.26</v>
      </c>
      <c r="N24" s="14" t="n">
        <f aca="false">Parametros!$C$11+(J24+IF(I24&gt;0,1,0))*Parametros!$C$9+G24*(270-Parametros!$C$13)+H24*(513-Parametros!$C$13)+IF(I24&gt;0,I24-Parametros!$C$13,0)</f>
        <v>1607.12</v>
      </c>
      <c r="O24" s="14" t="n">
        <f aca="false">Parametros!$C$11+J24*Parametros!$C$9+G24*(270-Parametros!$C$13)+H24*(513-Parametros!$C$13)+Parametros!$C$12/2</f>
        <v>1109.74</v>
      </c>
      <c r="P24" s="13" t="n">
        <f aca="false">4*J24</f>
        <v>12</v>
      </c>
      <c r="Q24" s="13" t="n">
        <f aca="false">2*(E24-1)*(J24+IF(I24&gt;0,1,0))</f>
        <v>0</v>
      </c>
      <c r="R24" s="13" t="n">
        <f aca="false">IF(I24&gt;0,4,0)</f>
        <v>4</v>
      </c>
      <c r="S24" s="13" t="n">
        <f aca="false">2*(E24+1)</f>
        <v>4</v>
      </c>
      <c r="T24" s="13" t="n">
        <f aca="false">E24*J24</f>
        <v>3</v>
      </c>
      <c r="U24" s="13" t="n">
        <f aca="false">2*E24*J24+IF(I24&gt;0,2*E24,0)</f>
        <v>8</v>
      </c>
      <c r="V24" s="13" t="n">
        <f aca="false">(E24+1)*J24</f>
        <v>6</v>
      </c>
      <c r="W24" s="13" t="n">
        <f aca="false">2*(E24+1)*(G24+IF(I24=270,1,0))</f>
        <v>0</v>
      </c>
      <c r="X24" s="13" t="n">
        <f aca="false">2*(E24+1)*(H24+IF(I24=513,1,0))</f>
        <v>12</v>
      </c>
      <c r="Y24" s="13" t="n">
        <f aca="false">2*(E24+1)</f>
        <v>4</v>
      </c>
      <c r="Z24" s="15" t="n">
        <f aca="false">P24*Kit!$D$15+Q24*Kit!$D$16+R24*Kit!$D$17+S24*Kit!$D$18+T24*Kit!$D$6+U24*Kit!$D$11+V24*Kit!$D$8+W24*Kit!$D$12+X24*Kit!$D$13+Y24*Kit!$D$14</f>
        <v>9.4581</v>
      </c>
      <c r="AA24" s="16" t="n">
        <f aca="false">P24*Kit!$E$15+Q24*Kit!$E$16+R24*Kit!$E$17+S24*Kit!$E$18+T24*Kit!$E$6+U24*Kit!$E$11+V24*Kit!$E$8+W24*Kit!$E$12+X24*Kit!$E$13+Y24*Kit!$E$14</f>
        <v>173.2476</v>
      </c>
      <c r="AB24" s="17" t="n">
        <f aca="false">K24*J24/1000</f>
        <v>2.27706</v>
      </c>
      <c r="AC24" s="17" t="n">
        <f aca="false">N24/M24</f>
        <v>4.31719765755117</v>
      </c>
      <c r="AD24" s="18" t="s">
        <v>102</v>
      </c>
    </row>
    <row r="25" customFormat="false" ht="15" hidden="false" customHeight="false" outlineLevel="0" collapsed="false">
      <c r="A25" s="4" t="s">
        <v>119</v>
      </c>
      <c r="B25" s="5" t="s">
        <v>114</v>
      </c>
      <c r="C25" s="19" t="n">
        <v>287</v>
      </c>
      <c r="D25" s="19" t="n">
        <v>717</v>
      </c>
      <c r="E25" s="19" t="n">
        <v>2</v>
      </c>
      <c r="F25" s="5" t="s">
        <v>89</v>
      </c>
      <c r="G25" s="19" t="n">
        <v>3</v>
      </c>
      <c r="H25" s="19" t="n">
        <v>0</v>
      </c>
      <c r="I25" s="19" t="n">
        <v>0</v>
      </c>
      <c r="J25" s="20" t="n">
        <f aca="false">G25+H25+1</f>
        <v>4</v>
      </c>
      <c r="K25" s="21" t="n">
        <f aca="false">2*Parametros!$C$6+(E25-1)*Parametros!$C$7+E25*(D25-Parametros!$C$13)</f>
        <v>1496.12</v>
      </c>
      <c r="L25" s="21" t="n">
        <f aca="false">IF(I25&gt;0,K25+2*Parametros!$C$10,K25)</f>
        <v>1496.12</v>
      </c>
      <c r="M25" s="21" t="n">
        <f aca="false">C25+2*(Parametros!$C$8-Parametros!$C$5)</f>
        <v>372.26</v>
      </c>
      <c r="N25" s="21" t="n">
        <f aca="false">Parametros!$C$11+(J25+IF(I25&gt;0,1,0))*Parametros!$C$9+G25*(270-Parametros!$C$13)+H25*(513-Parametros!$C$13)+IF(I25&gt;0,I25-Parametros!$C$13,0)</f>
        <v>878.12</v>
      </c>
      <c r="O25" s="21" t="n">
        <f aca="false">Parametros!$C$11+J25*Parametros!$C$9+G25*(270-Parametros!$C$13)+H25*(513-Parametros!$C$13)+Parametros!$C$12/2</f>
        <v>885.62</v>
      </c>
      <c r="P25" s="20" t="n">
        <f aca="false">4*J25</f>
        <v>16</v>
      </c>
      <c r="Q25" s="20" t="n">
        <f aca="false">2*(E25-1)*(J25+IF(I25&gt;0,1,0))</f>
        <v>8</v>
      </c>
      <c r="R25" s="20" t="n">
        <f aca="false">IF(I25&gt;0,4,0)</f>
        <v>0</v>
      </c>
      <c r="S25" s="20" t="n">
        <f aca="false">2*(E25+1)</f>
        <v>6</v>
      </c>
      <c r="T25" s="20" t="n">
        <f aca="false">E25*J25</f>
        <v>8</v>
      </c>
      <c r="U25" s="20" t="n">
        <f aca="false">2*E25*J25+IF(I25&gt;0,2*E25,0)</f>
        <v>16</v>
      </c>
      <c r="V25" s="20" t="n">
        <f aca="false">(E25+1)*J25</f>
        <v>12</v>
      </c>
      <c r="W25" s="20" t="n">
        <f aca="false">2*(E25+1)*(G25+IF(I25=270,1,0))</f>
        <v>18</v>
      </c>
      <c r="X25" s="20" t="n">
        <f aca="false">2*(E25+1)*(H25+IF(I25=513,1,0))</f>
        <v>0</v>
      </c>
      <c r="Y25" s="20" t="n">
        <f aca="false">2*(E25+1)</f>
        <v>6</v>
      </c>
      <c r="Z25" s="22" t="n">
        <f aca="false">P25*Kit!$D$15+Q25*Kit!$D$16+R25*Kit!$D$17+S25*Kit!$D$18+T25*Kit!$D$6+U25*Kit!$D$11+V25*Kit!$D$8+W25*Kit!$D$12+X25*Kit!$D$13+Y25*Kit!$D$14</f>
        <v>20.8156</v>
      </c>
      <c r="AA25" s="23" t="n">
        <f aca="false">P25*Kit!$E$15+Q25*Kit!$E$16+R25*Kit!$E$17+S25*Kit!$E$18+T25*Kit!$E$6+U25*Kit!$E$11+V25*Kit!$E$8+W25*Kit!$E$12+X25*Kit!$E$13+Y25*Kit!$E$14</f>
        <v>384.1286</v>
      </c>
      <c r="AB25" s="24" t="n">
        <f aca="false">K25*J25/1000</f>
        <v>5.98448</v>
      </c>
      <c r="AC25" s="24" t="n">
        <f aca="false">N25/M25</f>
        <v>2.35888894858432</v>
      </c>
      <c r="AD25" s="8" t="s">
        <v>90</v>
      </c>
    </row>
    <row r="26" customFormat="false" ht="15" hidden="false" customHeight="false" outlineLevel="0" collapsed="false">
      <c r="A26" s="4" t="s">
        <v>120</v>
      </c>
      <c r="B26" s="5" t="s">
        <v>114</v>
      </c>
      <c r="C26" s="19" t="n">
        <v>287</v>
      </c>
      <c r="D26" s="19" t="n">
        <v>717</v>
      </c>
      <c r="E26" s="19" t="n">
        <v>2</v>
      </c>
      <c r="F26" s="5" t="s">
        <v>92</v>
      </c>
      <c r="G26" s="19" t="n">
        <v>5</v>
      </c>
      <c r="H26" s="19" t="n">
        <v>0</v>
      </c>
      <c r="I26" s="19" t="n">
        <v>0</v>
      </c>
      <c r="J26" s="20" t="n">
        <f aca="false">G26+H26+1</f>
        <v>6</v>
      </c>
      <c r="K26" s="21" t="n">
        <f aca="false">2*Parametros!$C$6+(E26-1)*Parametros!$C$7+E26*(D26-Parametros!$C$13)</f>
        <v>1496.12</v>
      </c>
      <c r="L26" s="21" t="n">
        <f aca="false">IF(I26&gt;0,K26+2*Parametros!$C$10,K26)</f>
        <v>1496.12</v>
      </c>
      <c r="M26" s="21" t="n">
        <f aca="false">C26+2*(Parametros!$C$8-Parametros!$C$5)</f>
        <v>372.26</v>
      </c>
      <c r="N26" s="21" t="n">
        <f aca="false">Parametros!$C$11+(J26+IF(I26&gt;0,1,0))*Parametros!$C$9+G26*(270-Parametros!$C$13)+H26*(513-Parametros!$C$13)+IF(I26&gt;0,I26-Parametros!$C$13,0)</f>
        <v>1401.88</v>
      </c>
      <c r="O26" s="21" t="n">
        <f aca="false">Parametros!$C$11+J26*Parametros!$C$9+G26*(270-Parametros!$C$13)+H26*(513-Parametros!$C$13)+Parametros!$C$12/2</f>
        <v>1409.38</v>
      </c>
      <c r="P26" s="20" t="n">
        <f aca="false">4*J26</f>
        <v>24</v>
      </c>
      <c r="Q26" s="20" t="n">
        <f aca="false">2*(E26-1)*(J26+IF(I26&gt;0,1,0))</f>
        <v>12</v>
      </c>
      <c r="R26" s="20" t="n">
        <f aca="false">IF(I26&gt;0,4,0)</f>
        <v>0</v>
      </c>
      <c r="S26" s="20" t="n">
        <f aca="false">2*(E26+1)</f>
        <v>6</v>
      </c>
      <c r="T26" s="20" t="n">
        <f aca="false">E26*J26</f>
        <v>12</v>
      </c>
      <c r="U26" s="20" t="n">
        <f aca="false">2*E26*J26+IF(I26&gt;0,2*E26,0)</f>
        <v>24</v>
      </c>
      <c r="V26" s="20" t="n">
        <f aca="false">(E26+1)*J26</f>
        <v>18</v>
      </c>
      <c r="W26" s="20" t="n">
        <f aca="false">2*(E26+1)*(G26+IF(I26=270,1,0))</f>
        <v>30</v>
      </c>
      <c r="X26" s="20" t="n">
        <f aca="false">2*(E26+1)*(H26+IF(I26=513,1,0))</f>
        <v>0</v>
      </c>
      <c r="Y26" s="20" t="n">
        <f aca="false">2*(E26+1)</f>
        <v>6</v>
      </c>
      <c r="Z26" s="22" t="n">
        <f aca="false">P26*Kit!$D$15+Q26*Kit!$D$16+R26*Kit!$D$17+S26*Kit!$D$18+T26*Kit!$D$6+U26*Kit!$D$11+V26*Kit!$D$8+W26*Kit!$D$12+X26*Kit!$D$13+Y26*Kit!$D$14</f>
        <v>31.3626</v>
      </c>
      <c r="AA26" s="23" t="n">
        <f aca="false">P26*Kit!$E$15+Q26*Kit!$E$16+R26*Kit!$E$17+S26*Kit!$E$18+T26*Kit!$E$6+U26*Kit!$E$11+V26*Kit!$E$8+W26*Kit!$E$12+X26*Kit!$E$13+Y26*Kit!$E$14</f>
        <v>578.8764</v>
      </c>
      <c r="AB26" s="24" t="n">
        <f aca="false">K26*J26/1000</f>
        <v>8.97672</v>
      </c>
      <c r="AC26" s="24" t="n">
        <f aca="false">N26/M26</f>
        <v>3.76586256917208</v>
      </c>
      <c r="AD26" s="8" t="s">
        <v>93</v>
      </c>
    </row>
    <row r="27" customFormat="false" ht="15" hidden="false" customHeight="false" outlineLevel="0" collapsed="false">
      <c r="A27" s="4" t="s">
        <v>121</v>
      </c>
      <c r="B27" s="5" t="s">
        <v>114</v>
      </c>
      <c r="C27" s="19" t="n">
        <v>287</v>
      </c>
      <c r="D27" s="19" t="n">
        <v>717</v>
      </c>
      <c r="E27" s="19" t="n">
        <v>2</v>
      </c>
      <c r="F27" s="5" t="s">
        <v>95</v>
      </c>
      <c r="G27" s="19" t="n">
        <v>6</v>
      </c>
      <c r="H27" s="19" t="n">
        <v>0</v>
      </c>
      <c r="I27" s="19" t="n">
        <v>0</v>
      </c>
      <c r="J27" s="20" t="n">
        <f aca="false">G27+H27+1</f>
        <v>7</v>
      </c>
      <c r="K27" s="21" t="n">
        <f aca="false">2*Parametros!$C$6+(E27-1)*Parametros!$C$7+E27*(D27-Parametros!$C$13)</f>
        <v>1496.12</v>
      </c>
      <c r="L27" s="21" t="n">
        <f aca="false">IF(I27&gt;0,K27+2*Parametros!$C$10,K27)</f>
        <v>1496.12</v>
      </c>
      <c r="M27" s="21" t="n">
        <f aca="false">C27+2*(Parametros!$C$8-Parametros!$C$5)</f>
        <v>372.26</v>
      </c>
      <c r="N27" s="21" t="n">
        <f aca="false">Parametros!$C$11+(J27+IF(I27&gt;0,1,0))*Parametros!$C$9+G27*(270-Parametros!$C$13)+H27*(513-Parametros!$C$13)+IF(I27&gt;0,I27-Parametros!$C$13,0)</f>
        <v>1663.76</v>
      </c>
      <c r="O27" s="21" t="n">
        <f aca="false">Parametros!$C$11+J27*Parametros!$C$9+G27*(270-Parametros!$C$13)+H27*(513-Parametros!$C$13)+Parametros!$C$12/2</f>
        <v>1671.26</v>
      </c>
      <c r="P27" s="20" t="n">
        <f aca="false">4*J27</f>
        <v>28</v>
      </c>
      <c r="Q27" s="20" t="n">
        <f aca="false">2*(E27-1)*(J27+IF(I27&gt;0,1,0))</f>
        <v>14</v>
      </c>
      <c r="R27" s="20" t="n">
        <f aca="false">IF(I27&gt;0,4,0)</f>
        <v>0</v>
      </c>
      <c r="S27" s="20" t="n">
        <f aca="false">2*(E27+1)</f>
        <v>6</v>
      </c>
      <c r="T27" s="20" t="n">
        <f aca="false">E27*J27</f>
        <v>14</v>
      </c>
      <c r="U27" s="20" t="n">
        <f aca="false">2*E27*J27+IF(I27&gt;0,2*E27,0)</f>
        <v>28</v>
      </c>
      <c r="V27" s="20" t="n">
        <f aca="false">(E27+1)*J27</f>
        <v>21</v>
      </c>
      <c r="W27" s="20" t="n">
        <f aca="false">2*(E27+1)*(G27+IF(I27=270,1,0))</f>
        <v>36</v>
      </c>
      <c r="X27" s="20" t="n">
        <f aca="false">2*(E27+1)*(H27+IF(I27=513,1,0))</f>
        <v>0</v>
      </c>
      <c r="Y27" s="20" t="n">
        <f aca="false">2*(E27+1)</f>
        <v>6</v>
      </c>
      <c r="Z27" s="22" t="n">
        <f aca="false">P27*Kit!$D$15+Q27*Kit!$D$16+R27*Kit!$D$17+S27*Kit!$D$18+T27*Kit!$D$6+U27*Kit!$D$11+V27*Kit!$D$8+W27*Kit!$D$12+X27*Kit!$D$13+Y27*Kit!$D$14</f>
        <v>36.6361</v>
      </c>
      <c r="AA27" s="23" t="n">
        <f aca="false">P27*Kit!$E$15+Q27*Kit!$E$16+R27*Kit!$E$17+S27*Kit!$E$18+T27*Kit!$E$6+U27*Kit!$E$11+V27*Kit!$E$8+W27*Kit!$E$12+X27*Kit!$E$13+Y27*Kit!$E$14</f>
        <v>676.2503</v>
      </c>
      <c r="AB27" s="24" t="n">
        <f aca="false">K27*J27/1000</f>
        <v>10.47284</v>
      </c>
      <c r="AC27" s="24" t="n">
        <f aca="false">N27/M27</f>
        <v>4.46934937946597</v>
      </c>
      <c r="AD27" s="8" t="s">
        <v>96</v>
      </c>
    </row>
    <row r="28" customFormat="false" ht="15" hidden="false" customHeight="false" outlineLevel="0" collapsed="false">
      <c r="A28" s="4" t="s">
        <v>122</v>
      </c>
      <c r="B28" s="5" t="s">
        <v>114</v>
      </c>
      <c r="C28" s="19" t="n">
        <v>287</v>
      </c>
      <c r="D28" s="19" t="n">
        <v>717</v>
      </c>
      <c r="E28" s="19" t="n">
        <v>2</v>
      </c>
      <c r="F28" s="5" t="s">
        <v>98</v>
      </c>
      <c r="G28" s="19" t="n">
        <v>2</v>
      </c>
      <c r="H28" s="19" t="n">
        <v>2</v>
      </c>
      <c r="I28" s="19" t="n">
        <v>0</v>
      </c>
      <c r="J28" s="20" t="n">
        <f aca="false">G28+H28+1</f>
        <v>5</v>
      </c>
      <c r="K28" s="21" t="n">
        <f aca="false">2*Parametros!$C$6+(E28-1)*Parametros!$C$7+E28*(D28-Parametros!$C$13)</f>
        <v>1496.12</v>
      </c>
      <c r="L28" s="21" t="n">
        <f aca="false">IF(I28&gt;0,K28+2*Parametros!$C$10,K28)</f>
        <v>1496.12</v>
      </c>
      <c r="M28" s="21" t="n">
        <f aca="false">C28+2*(Parametros!$C$8-Parametros!$C$5)</f>
        <v>372.26</v>
      </c>
      <c r="N28" s="21" t="n">
        <f aca="false">Parametros!$C$11+(J28+IF(I28&gt;0,1,0))*Parametros!$C$9+G28*(270-Parametros!$C$13)+H28*(513-Parametros!$C$13)+IF(I28&gt;0,I28-Parametros!$C$13,0)</f>
        <v>1626</v>
      </c>
      <c r="O28" s="21" t="n">
        <f aca="false">Parametros!$C$11+J28*Parametros!$C$9+G28*(270-Parametros!$C$13)+H28*(513-Parametros!$C$13)+Parametros!$C$12/2</f>
        <v>1633.5</v>
      </c>
      <c r="P28" s="20" t="n">
        <f aca="false">4*J28</f>
        <v>20</v>
      </c>
      <c r="Q28" s="20" t="n">
        <f aca="false">2*(E28-1)*(J28+IF(I28&gt;0,1,0))</f>
        <v>10</v>
      </c>
      <c r="R28" s="20" t="n">
        <f aca="false">IF(I28&gt;0,4,0)</f>
        <v>0</v>
      </c>
      <c r="S28" s="20" t="n">
        <f aca="false">2*(E28+1)</f>
        <v>6</v>
      </c>
      <c r="T28" s="20" t="n">
        <f aca="false">E28*J28</f>
        <v>10</v>
      </c>
      <c r="U28" s="20" t="n">
        <f aca="false">2*E28*J28+IF(I28&gt;0,2*E28,0)</f>
        <v>20</v>
      </c>
      <c r="V28" s="20" t="n">
        <f aca="false">(E28+1)*J28</f>
        <v>15</v>
      </c>
      <c r="W28" s="20" t="n">
        <f aca="false">2*(E28+1)*(G28+IF(I28=270,1,0))</f>
        <v>12</v>
      </c>
      <c r="X28" s="20" t="n">
        <f aca="false">2*(E28+1)*(H28+IF(I28=513,1,0))</f>
        <v>12</v>
      </c>
      <c r="Y28" s="20" t="n">
        <f aca="false">2*(E28+1)</f>
        <v>6</v>
      </c>
      <c r="Z28" s="22" t="n">
        <f aca="false">P28*Kit!$D$15+Q28*Kit!$D$16+R28*Kit!$D$17+S28*Kit!$D$18+T28*Kit!$D$6+U28*Kit!$D$11+V28*Kit!$D$8+W28*Kit!$D$12+X28*Kit!$D$13+Y28*Kit!$D$14</f>
        <v>26.7491</v>
      </c>
      <c r="AA28" s="23" t="n">
        <f aca="false">P28*Kit!$E$15+Q28*Kit!$E$16+R28*Kit!$E$17+S28*Kit!$E$18+T28*Kit!$E$6+U28*Kit!$E$11+V28*Kit!$E$8+W28*Kit!$E$12+X28*Kit!$E$13+Y28*Kit!$E$14</f>
        <v>494.0593</v>
      </c>
      <c r="AB28" s="24" t="n">
        <f aca="false">K28*J28/1000</f>
        <v>7.4806</v>
      </c>
      <c r="AC28" s="24" t="n">
        <f aca="false">N28/M28</f>
        <v>4.36791489818944</v>
      </c>
      <c r="AD28" s="8" t="s">
        <v>99</v>
      </c>
    </row>
    <row r="29" customFormat="false" ht="15" hidden="false" customHeight="false" outlineLevel="0" collapsed="false">
      <c r="A29" s="4" t="s">
        <v>123</v>
      </c>
      <c r="B29" s="5" t="s">
        <v>114</v>
      </c>
      <c r="C29" s="19" t="n">
        <v>287</v>
      </c>
      <c r="D29" s="19" t="n">
        <v>717</v>
      </c>
      <c r="E29" s="19" t="n">
        <v>2</v>
      </c>
      <c r="F29" s="5" t="s">
        <v>101</v>
      </c>
      <c r="G29" s="19" t="n">
        <v>0</v>
      </c>
      <c r="H29" s="19" t="n">
        <v>2</v>
      </c>
      <c r="I29" s="19" t="n">
        <v>513</v>
      </c>
      <c r="J29" s="20" t="n">
        <f aca="false">G29+H29+1</f>
        <v>3</v>
      </c>
      <c r="K29" s="21" t="n">
        <f aca="false">2*Parametros!$C$6+(E29-1)*Parametros!$C$7+E29*(D29-Parametros!$C$13)</f>
        <v>1496.12</v>
      </c>
      <c r="L29" s="21" t="n">
        <f aca="false">IF(I29&gt;0,K29+2*Parametros!$C$10,K29)</f>
        <v>1539.96</v>
      </c>
      <c r="M29" s="21" t="n">
        <f aca="false">C29+2*(Parametros!$C$8-Parametros!$C$5)</f>
        <v>372.26</v>
      </c>
      <c r="N29" s="21" t="n">
        <f aca="false">Parametros!$C$11+(J29+IF(I29&gt;0,1,0))*Parametros!$C$9+G29*(270-Parametros!$C$13)+H29*(513-Parametros!$C$13)+IF(I29&gt;0,I29-Parametros!$C$13,0)</f>
        <v>1607.12</v>
      </c>
      <c r="O29" s="21" t="n">
        <f aca="false">Parametros!$C$11+J29*Parametros!$C$9+G29*(270-Parametros!$C$13)+H29*(513-Parametros!$C$13)+Parametros!$C$12/2</f>
        <v>1109.74</v>
      </c>
      <c r="P29" s="20" t="n">
        <f aca="false">4*J29</f>
        <v>12</v>
      </c>
      <c r="Q29" s="20" t="n">
        <f aca="false">2*(E29-1)*(J29+IF(I29&gt;0,1,0))</f>
        <v>8</v>
      </c>
      <c r="R29" s="20" t="n">
        <f aca="false">IF(I29&gt;0,4,0)</f>
        <v>4</v>
      </c>
      <c r="S29" s="20" t="n">
        <f aca="false">2*(E29+1)</f>
        <v>6</v>
      </c>
      <c r="T29" s="20" t="n">
        <f aca="false">E29*J29</f>
        <v>6</v>
      </c>
      <c r="U29" s="20" t="n">
        <f aca="false">2*E29*J29+IF(I29&gt;0,2*E29,0)</f>
        <v>16</v>
      </c>
      <c r="V29" s="20" t="n">
        <f aca="false">(E29+1)*J29</f>
        <v>9</v>
      </c>
      <c r="W29" s="20" t="n">
        <f aca="false">2*(E29+1)*(G29+IF(I29=270,1,0))</f>
        <v>0</v>
      </c>
      <c r="X29" s="20" t="n">
        <f aca="false">2*(E29+1)*(H29+IF(I29=513,1,0))</f>
        <v>18</v>
      </c>
      <c r="Y29" s="20" t="n">
        <f aca="false">2*(E29+1)</f>
        <v>6</v>
      </c>
      <c r="Z29" s="22" t="n">
        <f aca="false">P29*Kit!$D$15+Q29*Kit!$D$16+R29*Kit!$D$17+S29*Kit!$D$18+T29*Kit!$D$6+U29*Kit!$D$11+V29*Kit!$D$8+W29*Kit!$D$12+X29*Kit!$D$13+Y29*Kit!$D$14</f>
        <v>17.7887</v>
      </c>
      <c r="AA29" s="23" t="n">
        <f aca="false">P29*Kit!$E$15+Q29*Kit!$E$16+R29*Kit!$E$17+S29*Kit!$E$18+T29*Kit!$E$6+U29*Kit!$E$11+V29*Kit!$E$8+W29*Kit!$E$12+X29*Kit!$E$13+Y29*Kit!$E$14</f>
        <v>327.1069</v>
      </c>
      <c r="AB29" s="24" t="n">
        <f aca="false">K29*J29/1000</f>
        <v>4.48836</v>
      </c>
      <c r="AC29" s="24" t="n">
        <f aca="false">N29/M29</f>
        <v>4.31719765755117</v>
      </c>
      <c r="AD29" s="8" t="s">
        <v>102</v>
      </c>
    </row>
    <row r="30" customFormat="false" ht="15" hidden="false" customHeight="false" outlineLevel="0" collapsed="false">
      <c r="A30" s="4" t="s">
        <v>124</v>
      </c>
      <c r="B30" s="5" t="s">
        <v>114</v>
      </c>
      <c r="C30" s="19" t="n">
        <v>287</v>
      </c>
      <c r="D30" s="19" t="n">
        <v>717</v>
      </c>
      <c r="E30" s="19" t="n">
        <v>3</v>
      </c>
      <c r="F30" s="5" t="s">
        <v>89</v>
      </c>
      <c r="G30" s="19" t="n">
        <v>3</v>
      </c>
      <c r="H30" s="19" t="n">
        <v>0</v>
      </c>
      <c r="I30" s="19" t="n">
        <v>0</v>
      </c>
      <c r="J30" s="20" t="n">
        <f aca="false">G30+H30+1</f>
        <v>4</v>
      </c>
      <c r="K30" s="21" t="n">
        <f aca="false">2*Parametros!$C$6+(E30-1)*Parametros!$C$7+E30*(D30-Parametros!$C$13)</f>
        <v>2233.22</v>
      </c>
      <c r="L30" s="21" t="n">
        <f aca="false">IF(I30&gt;0,K30+2*Parametros!$C$10,K30)</f>
        <v>2233.22</v>
      </c>
      <c r="M30" s="21" t="n">
        <f aca="false">C30+2*(Parametros!$C$8-Parametros!$C$5)</f>
        <v>372.26</v>
      </c>
      <c r="N30" s="21" t="n">
        <f aca="false">Parametros!$C$11+(J30+IF(I30&gt;0,1,0))*Parametros!$C$9+G30*(270-Parametros!$C$13)+H30*(513-Parametros!$C$13)+IF(I30&gt;0,I30-Parametros!$C$13,0)</f>
        <v>878.12</v>
      </c>
      <c r="O30" s="21" t="n">
        <f aca="false">Parametros!$C$11+J30*Parametros!$C$9+G30*(270-Parametros!$C$13)+H30*(513-Parametros!$C$13)+Parametros!$C$12/2</f>
        <v>885.62</v>
      </c>
      <c r="P30" s="20" t="n">
        <f aca="false">4*J30</f>
        <v>16</v>
      </c>
      <c r="Q30" s="20" t="n">
        <f aca="false">2*(E30-1)*(J30+IF(I30&gt;0,1,0))</f>
        <v>16</v>
      </c>
      <c r="R30" s="20" t="n">
        <f aca="false">IF(I30&gt;0,4,0)</f>
        <v>0</v>
      </c>
      <c r="S30" s="20" t="n">
        <f aca="false">2*(E30+1)</f>
        <v>8</v>
      </c>
      <c r="T30" s="20" t="n">
        <f aca="false">E30*J30</f>
        <v>12</v>
      </c>
      <c r="U30" s="20" t="n">
        <f aca="false">2*E30*J30+IF(I30&gt;0,2*E30,0)</f>
        <v>24</v>
      </c>
      <c r="V30" s="20" t="n">
        <f aca="false">(E30+1)*J30</f>
        <v>16</v>
      </c>
      <c r="W30" s="20" t="n">
        <f aca="false">2*(E30+1)*(G30+IF(I30=270,1,0))</f>
        <v>24</v>
      </c>
      <c r="X30" s="20" t="n">
        <f aca="false">2*(E30+1)*(H30+IF(I30=513,1,0))</f>
        <v>0</v>
      </c>
      <c r="Y30" s="20" t="n">
        <f aca="false">2*(E30+1)</f>
        <v>8</v>
      </c>
      <c r="Z30" s="22" t="n">
        <f aca="false">P30*Kit!$D$15+Q30*Kit!$D$16+R30*Kit!$D$17+S30*Kit!$D$18+T30*Kit!$D$6+U30*Kit!$D$11+V30*Kit!$D$8+W30*Kit!$D$12+X30*Kit!$D$13+Y30*Kit!$D$14</f>
        <v>30.7676</v>
      </c>
      <c r="AA30" s="23" t="n">
        <f aca="false">P30*Kit!$E$15+Q30*Kit!$E$16+R30*Kit!$E$17+S30*Kit!$E$18+T30*Kit!$E$6+U30*Kit!$E$11+V30*Kit!$E$8+W30*Kit!$E$12+X30*Kit!$E$13+Y30*Kit!$E$14</f>
        <v>568.8456</v>
      </c>
      <c r="AB30" s="24" t="n">
        <f aca="false">K30*J30/1000</f>
        <v>8.93288</v>
      </c>
      <c r="AC30" s="24" t="n">
        <f aca="false">N30/M30</f>
        <v>2.35888894858432</v>
      </c>
      <c r="AD30" s="8" t="s">
        <v>90</v>
      </c>
    </row>
    <row r="31" customFormat="false" ht="15" hidden="false" customHeight="false" outlineLevel="0" collapsed="false">
      <c r="A31" s="4" t="s">
        <v>125</v>
      </c>
      <c r="B31" s="5" t="s">
        <v>114</v>
      </c>
      <c r="C31" s="19" t="n">
        <v>287</v>
      </c>
      <c r="D31" s="19" t="n">
        <v>717</v>
      </c>
      <c r="E31" s="19" t="n">
        <v>3</v>
      </c>
      <c r="F31" s="5" t="s">
        <v>92</v>
      </c>
      <c r="G31" s="19" t="n">
        <v>5</v>
      </c>
      <c r="H31" s="19" t="n">
        <v>0</v>
      </c>
      <c r="I31" s="19" t="n">
        <v>0</v>
      </c>
      <c r="J31" s="20" t="n">
        <f aca="false">G31+H31+1</f>
        <v>6</v>
      </c>
      <c r="K31" s="21" t="n">
        <f aca="false">2*Parametros!$C$6+(E31-1)*Parametros!$C$7+E31*(D31-Parametros!$C$13)</f>
        <v>2233.22</v>
      </c>
      <c r="L31" s="21" t="n">
        <f aca="false">IF(I31&gt;0,K31+2*Parametros!$C$10,K31)</f>
        <v>2233.22</v>
      </c>
      <c r="M31" s="21" t="n">
        <f aca="false">C31+2*(Parametros!$C$8-Parametros!$C$5)</f>
        <v>372.26</v>
      </c>
      <c r="N31" s="21" t="n">
        <f aca="false">Parametros!$C$11+(J31+IF(I31&gt;0,1,0))*Parametros!$C$9+G31*(270-Parametros!$C$13)+H31*(513-Parametros!$C$13)+IF(I31&gt;0,I31-Parametros!$C$13,0)</f>
        <v>1401.88</v>
      </c>
      <c r="O31" s="21" t="n">
        <f aca="false">Parametros!$C$11+J31*Parametros!$C$9+G31*(270-Parametros!$C$13)+H31*(513-Parametros!$C$13)+Parametros!$C$12/2</f>
        <v>1409.38</v>
      </c>
      <c r="P31" s="20" t="n">
        <f aca="false">4*J31</f>
        <v>24</v>
      </c>
      <c r="Q31" s="20" t="n">
        <f aca="false">2*(E31-1)*(J31+IF(I31&gt;0,1,0))</f>
        <v>24</v>
      </c>
      <c r="R31" s="20" t="n">
        <f aca="false">IF(I31&gt;0,4,0)</f>
        <v>0</v>
      </c>
      <c r="S31" s="20" t="n">
        <f aca="false">2*(E31+1)</f>
        <v>8</v>
      </c>
      <c r="T31" s="20" t="n">
        <f aca="false">E31*J31</f>
        <v>18</v>
      </c>
      <c r="U31" s="20" t="n">
        <f aca="false">2*E31*J31+IF(I31&gt;0,2*E31,0)</f>
        <v>36</v>
      </c>
      <c r="V31" s="20" t="n">
        <f aca="false">(E31+1)*J31</f>
        <v>24</v>
      </c>
      <c r="W31" s="20" t="n">
        <f aca="false">2*(E31+1)*(G31+IF(I31=270,1,0))</f>
        <v>40</v>
      </c>
      <c r="X31" s="20" t="n">
        <f aca="false">2*(E31+1)*(H31+IF(I31=513,1,0))</f>
        <v>0</v>
      </c>
      <c r="Y31" s="20" t="n">
        <f aca="false">2*(E31+1)</f>
        <v>8</v>
      </c>
      <c r="Z31" s="22" t="n">
        <f aca="false">P31*Kit!$D$15+Q31*Kit!$D$16+R31*Kit!$D$17+S31*Kit!$D$18+T31*Kit!$D$6+U31*Kit!$D$11+V31*Kit!$D$8+W31*Kit!$D$12+X31*Kit!$D$13+Y31*Kit!$D$14</f>
        <v>46.337</v>
      </c>
      <c r="AA31" s="23" t="n">
        <f aca="false">P31*Kit!$E$15+Q31*Kit!$E$16+R31*Kit!$E$17+S31*Kit!$E$18+T31*Kit!$E$6+U31*Kit!$E$11+V31*Kit!$E$8+W31*Kit!$E$12+X31*Kit!$E$13+Y31*Kit!$E$14</f>
        <v>856.8464</v>
      </c>
      <c r="AB31" s="24" t="n">
        <f aca="false">K31*J31/1000</f>
        <v>13.39932</v>
      </c>
      <c r="AC31" s="24" t="n">
        <f aca="false">N31/M31</f>
        <v>3.76586256917208</v>
      </c>
      <c r="AD31" s="8" t="s">
        <v>93</v>
      </c>
    </row>
    <row r="32" customFormat="false" ht="15" hidden="false" customHeight="false" outlineLevel="0" collapsed="false">
      <c r="A32" s="4" t="s">
        <v>126</v>
      </c>
      <c r="B32" s="5" t="s">
        <v>114</v>
      </c>
      <c r="C32" s="19" t="n">
        <v>287</v>
      </c>
      <c r="D32" s="19" t="n">
        <v>717</v>
      </c>
      <c r="E32" s="19" t="n">
        <v>3</v>
      </c>
      <c r="F32" s="5" t="s">
        <v>95</v>
      </c>
      <c r="G32" s="19" t="n">
        <v>6</v>
      </c>
      <c r="H32" s="19" t="n">
        <v>0</v>
      </c>
      <c r="I32" s="19" t="n">
        <v>0</v>
      </c>
      <c r="J32" s="20" t="n">
        <f aca="false">G32+H32+1</f>
        <v>7</v>
      </c>
      <c r="K32" s="21" t="n">
        <f aca="false">2*Parametros!$C$6+(E32-1)*Parametros!$C$7+E32*(D32-Parametros!$C$13)</f>
        <v>2233.22</v>
      </c>
      <c r="L32" s="21" t="n">
        <f aca="false">IF(I32&gt;0,K32+2*Parametros!$C$10,K32)</f>
        <v>2233.22</v>
      </c>
      <c r="M32" s="21" t="n">
        <f aca="false">C32+2*(Parametros!$C$8-Parametros!$C$5)</f>
        <v>372.26</v>
      </c>
      <c r="N32" s="21" t="n">
        <f aca="false">Parametros!$C$11+(J32+IF(I32&gt;0,1,0))*Parametros!$C$9+G32*(270-Parametros!$C$13)+H32*(513-Parametros!$C$13)+IF(I32&gt;0,I32-Parametros!$C$13,0)</f>
        <v>1663.76</v>
      </c>
      <c r="O32" s="21" t="n">
        <f aca="false">Parametros!$C$11+J32*Parametros!$C$9+G32*(270-Parametros!$C$13)+H32*(513-Parametros!$C$13)+Parametros!$C$12/2</f>
        <v>1671.26</v>
      </c>
      <c r="P32" s="20" t="n">
        <f aca="false">4*J32</f>
        <v>28</v>
      </c>
      <c r="Q32" s="20" t="n">
        <f aca="false">2*(E32-1)*(J32+IF(I32&gt;0,1,0))</f>
        <v>28</v>
      </c>
      <c r="R32" s="20" t="n">
        <f aca="false">IF(I32&gt;0,4,0)</f>
        <v>0</v>
      </c>
      <c r="S32" s="20" t="n">
        <f aca="false">2*(E32+1)</f>
        <v>8</v>
      </c>
      <c r="T32" s="20" t="n">
        <f aca="false">E32*J32</f>
        <v>21</v>
      </c>
      <c r="U32" s="20" t="n">
        <f aca="false">2*E32*J32+IF(I32&gt;0,2*E32,0)</f>
        <v>42</v>
      </c>
      <c r="V32" s="20" t="n">
        <f aca="false">(E32+1)*J32</f>
        <v>28</v>
      </c>
      <c r="W32" s="20" t="n">
        <f aca="false">2*(E32+1)*(G32+IF(I32=270,1,0))</f>
        <v>48</v>
      </c>
      <c r="X32" s="20" t="n">
        <f aca="false">2*(E32+1)*(H32+IF(I32=513,1,0))</f>
        <v>0</v>
      </c>
      <c r="Y32" s="20" t="n">
        <f aca="false">2*(E32+1)</f>
        <v>8</v>
      </c>
      <c r="Z32" s="22" t="n">
        <f aca="false">P32*Kit!$D$15+Q32*Kit!$D$16+R32*Kit!$D$17+S32*Kit!$D$18+T32*Kit!$D$6+U32*Kit!$D$11+V32*Kit!$D$8+W32*Kit!$D$12+X32*Kit!$D$13+Y32*Kit!$D$14</f>
        <v>54.1217</v>
      </c>
      <c r="AA32" s="23" t="n">
        <f aca="false">P32*Kit!$E$15+Q32*Kit!$E$16+R32*Kit!$E$17+S32*Kit!$E$18+T32*Kit!$E$6+U32*Kit!$E$11+V32*Kit!$E$8+W32*Kit!$E$12+X32*Kit!$E$13+Y32*Kit!$E$14</f>
        <v>1000.8468</v>
      </c>
      <c r="AB32" s="24" t="n">
        <f aca="false">K32*J32/1000</f>
        <v>15.63254</v>
      </c>
      <c r="AC32" s="24" t="n">
        <f aca="false">N32/M32</f>
        <v>4.46934937946597</v>
      </c>
      <c r="AD32" s="8" t="s">
        <v>96</v>
      </c>
    </row>
    <row r="33" customFormat="false" ht="15" hidden="false" customHeight="false" outlineLevel="0" collapsed="false">
      <c r="A33" s="4" t="s">
        <v>127</v>
      </c>
      <c r="B33" s="5" t="s">
        <v>114</v>
      </c>
      <c r="C33" s="19" t="n">
        <v>287</v>
      </c>
      <c r="D33" s="19" t="n">
        <v>717</v>
      </c>
      <c r="E33" s="19" t="n">
        <v>3</v>
      </c>
      <c r="F33" s="5" t="s">
        <v>98</v>
      </c>
      <c r="G33" s="19" t="n">
        <v>2</v>
      </c>
      <c r="H33" s="19" t="n">
        <v>2</v>
      </c>
      <c r="I33" s="19" t="n">
        <v>0</v>
      </c>
      <c r="J33" s="20" t="n">
        <f aca="false">G33+H33+1</f>
        <v>5</v>
      </c>
      <c r="K33" s="21" t="n">
        <f aca="false">2*Parametros!$C$6+(E33-1)*Parametros!$C$7+E33*(D33-Parametros!$C$13)</f>
        <v>2233.22</v>
      </c>
      <c r="L33" s="21" t="n">
        <f aca="false">IF(I33&gt;0,K33+2*Parametros!$C$10,K33)</f>
        <v>2233.22</v>
      </c>
      <c r="M33" s="21" t="n">
        <f aca="false">C33+2*(Parametros!$C$8-Parametros!$C$5)</f>
        <v>372.26</v>
      </c>
      <c r="N33" s="21" t="n">
        <f aca="false">Parametros!$C$11+(J33+IF(I33&gt;0,1,0))*Parametros!$C$9+G33*(270-Parametros!$C$13)+H33*(513-Parametros!$C$13)+IF(I33&gt;0,I33-Parametros!$C$13,0)</f>
        <v>1626</v>
      </c>
      <c r="O33" s="21" t="n">
        <f aca="false">Parametros!$C$11+J33*Parametros!$C$9+G33*(270-Parametros!$C$13)+H33*(513-Parametros!$C$13)+Parametros!$C$12/2</f>
        <v>1633.5</v>
      </c>
      <c r="P33" s="20" t="n">
        <f aca="false">4*J33</f>
        <v>20</v>
      </c>
      <c r="Q33" s="20" t="n">
        <f aca="false">2*(E33-1)*(J33+IF(I33&gt;0,1,0))</f>
        <v>20</v>
      </c>
      <c r="R33" s="20" t="n">
        <f aca="false">IF(I33&gt;0,4,0)</f>
        <v>0</v>
      </c>
      <c r="S33" s="20" t="n">
        <f aca="false">2*(E33+1)</f>
        <v>8</v>
      </c>
      <c r="T33" s="20" t="n">
        <f aca="false">E33*J33</f>
        <v>15</v>
      </c>
      <c r="U33" s="20" t="n">
        <f aca="false">2*E33*J33+IF(I33&gt;0,2*E33,0)</f>
        <v>30</v>
      </c>
      <c r="V33" s="20" t="n">
        <f aca="false">(E33+1)*J33</f>
        <v>20</v>
      </c>
      <c r="W33" s="20" t="n">
        <f aca="false">2*(E33+1)*(G33+IF(I33=270,1,0))</f>
        <v>16</v>
      </c>
      <c r="X33" s="20" t="n">
        <f aca="false">2*(E33+1)*(H33+IF(I33=513,1,0))</f>
        <v>16</v>
      </c>
      <c r="Y33" s="20" t="n">
        <f aca="false">2*(E33+1)</f>
        <v>8</v>
      </c>
      <c r="Z33" s="22" t="n">
        <f aca="false">P33*Kit!$D$15+Q33*Kit!$D$16+R33*Kit!$D$17+S33*Kit!$D$18+T33*Kit!$D$6+U33*Kit!$D$11+V33*Kit!$D$8+W33*Kit!$D$12+X33*Kit!$D$13+Y33*Kit!$D$14</f>
        <v>39.4323</v>
      </c>
      <c r="AA33" s="23" t="n">
        <f aca="false">P33*Kit!$E$15+Q33*Kit!$E$16+R33*Kit!$E$17+S33*Kit!$E$18+T33*Kit!$E$6+U33*Kit!$E$11+V33*Kit!$E$8+W33*Kit!$E$12+X33*Kit!$E$13+Y33*Kit!$E$14</f>
        <v>729.5884</v>
      </c>
      <c r="AB33" s="24" t="n">
        <f aca="false">K33*J33/1000</f>
        <v>11.1661</v>
      </c>
      <c r="AC33" s="24" t="n">
        <f aca="false">N33/M33</f>
        <v>4.36791489818944</v>
      </c>
      <c r="AD33" s="8" t="s">
        <v>99</v>
      </c>
    </row>
    <row r="34" customFormat="false" ht="15" hidden="false" customHeight="false" outlineLevel="0" collapsed="false">
      <c r="A34" s="4" t="s">
        <v>128</v>
      </c>
      <c r="B34" s="5" t="s">
        <v>114</v>
      </c>
      <c r="C34" s="19" t="n">
        <v>287</v>
      </c>
      <c r="D34" s="19" t="n">
        <v>717</v>
      </c>
      <c r="E34" s="19" t="n">
        <v>3</v>
      </c>
      <c r="F34" s="5" t="s">
        <v>101</v>
      </c>
      <c r="G34" s="19" t="n">
        <v>0</v>
      </c>
      <c r="H34" s="19" t="n">
        <v>2</v>
      </c>
      <c r="I34" s="19" t="n">
        <v>513</v>
      </c>
      <c r="J34" s="20" t="n">
        <f aca="false">G34+H34+1</f>
        <v>3</v>
      </c>
      <c r="K34" s="21" t="n">
        <f aca="false">2*Parametros!$C$6+(E34-1)*Parametros!$C$7+E34*(D34-Parametros!$C$13)</f>
        <v>2233.22</v>
      </c>
      <c r="L34" s="21" t="n">
        <f aca="false">IF(I34&gt;0,K34+2*Parametros!$C$10,K34)</f>
        <v>2277.06</v>
      </c>
      <c r="M34" s="21" t="n">
        <f aca="false">C34+2*(Parametros!$C$8-Parametros!$C$5)</f>
        <v>372.26</v>
      </c>
      <c r="N34" s="21" t="n">
        <f aca="false">Parametros!$C$11+(J34+IF(I34&gt;0,1,0))*Parametros!$C$9+G34*(270-Parametros!$C$13)+H34*(513-Parametros!$C$13)+IF(I34&gt;0,I34-Parametros!$C$13,0)</f>
        <v>1607.12</v>
      </c>
      <c r="O34" s="21" t="n">
        <f aca="false">Parametros!$C$11+J34*Parametros!$C$9+G34*(270-Parametros!$C$13)+H34*(513-Parametros!$C$13)+Parametros!$C$12/2</f>
        <v>1109.74</v>
      </c>
      <c r="P34" s="20" t="n">
        <f aca="false">4*J34</f>
        <v>12</v>
      </c>
      <c r="Q34" s="20" t="n">
        <f aca="false">2*(E34-1)*(J34+IF(I34&gt;0,1,0))</f>
        <v>16</v>
      </c>
      <c r="R34" s="20" t="n">
        <f aca="false">IF(I34&gt;0,4,0)</f>
        <v>4</v>
      </c>
      <c r="S34" s="20" t="n">
        <f aca="false">2*(E34+1)</f>
        <v>8</v>
      </c>
      <c r="T34" s="20" t="n">
        <f aca="false">E34*J34</f>
        <v>9</v>
      </c>
      <c r="U34" s="20" t="n">
        <f aca="false">2*E34*J34+IF(I34&gt;0,2*E34,0)</f>
        <v>24</v>
      </c>
      <c r="V34" s="20" t="n">
        <f aca="false">(E34+1)*J34</f>
        <v>12</v>
      </c>
      <c r="W34" s="20" t="n">
        <f aca="false">2*(E34+1)*(G34+IF(I34=270,1,0))</f>
        <v>0</v>
      </c>
      <c r="X34" s="20" t="n">
        <f aca="false">2*(E34+1)*(H34+IF(I34=513,1,0))</f>
        <v>24</v>
      </c>
      <c r="Y34" s="20" t="n">
        <f aca="false">2*(E34+1)</f>
        <v>8</v>
      </c>
      <c r="Z34" s="22" t="n">
        <f aca="false">P34*Kit!$D$15+Q34*Kit!$D$16+R34*Kit!$D$17+S34*Kit!$D$18+T34*Kit!$D$6+U34*Kit!$D$11+V34*Kit!$D$8+W34*Kit!$D$12+X34*Kit!$D$13+Y34*Kit!$D$14</f>
        <v>26.1193</v>
      </c>
      <c r="AA34" s="23" t="n">
        <f aca="false">P34*Kit!$E$15+Q34*Kit!$E$16+R34*Kit!$E$17+S34*Kit!$E$18+T34*Kit!$E$6+U34*Kit!$E$11+V34*Kit!$E$8+W34*Kit!$E$12+X34*Kit!$E$13+Y34*Kit!$E$14</f>
        <v>480.9662</v>
      </c>
      <c r="AB34" s="24" t="n">
        <f aca="false">K34*J34/1000</f>
        <v>6.69966</v>
      </c>
      <c r="AC34" s="24" t="n">
        <f aca="false">N34/M34</f>
        <v>4.31719765755117</v>
      </c>
      <c r="AD34" s="8" t="s">
        <v>102</v>
      </c>
    </row>
    <row r="35" customFormat="false" ht="15" hidden="false" customHeight="false" outlineLevel="0" collapsed="false">
      <c r="A35" s="10" t="s">
        <v>129</v>
      </c>
      <c r="B35" s="11" t="s">
        <v>130</v>
      </c>
      <c r="C35" s="12" t="n">
        <v>415</v>
      </c>
      <c r="D35" s="12" t="n">
        <v>717</v>
      </c>
      <c r="E35" s="12" t="n">
        <v>1</v>
      </c>
      <c r="F35" s="11" t="s">
        <v>89</v>
      </c>
      <c r="G35" s="12" t="n">
        <v>3</v>
      </c>
      <c r="H35" s="12" t="n">
        <v>0</v>
      </c>
      <c r="I35" s="12" t="n">
        <v>0</v>
      </c>
      <c r="J35" s="13" t="n">
        <f aca="false">G35+H35+1</f>
        <v>4</v>
      </c>
      <c r="K35" s="14" t="n">
        <f aca="false">2*Parametros!$C$6+(E35-1)*Parametros!$C$7+E35*(D35-Parametros!$C$13)</f>
        <v>759.02</v>
      </c>
      <c r="L35" s="14" t="n">
        <f aca="false">IF(I35&gt;0,K35+2*Parametros!$C$10,K35)</f>
        <v>759.02</v>
      </c>
      <c r="M35" s="14" t="n">
        <f aca="false">C35+2*(Parametros!$C$8-Parametros!$C$5)</f>
        <v>500.26</v>
      </c>
      <c r="N35" s="14" t="n">
        <f aca="false">Parametros!$C$11+(J35+IF(I35&gt;0,1,0))*Parametros!$C$9+G35*(270-Parametros!$C$13)+H35*(513-Parametros!$C$13)+IF(I35&gt;0,I35-Parametros!$C$13,0)</f>
        <v>878.12</v>
      </c>
      <c r="O35" s="14" t="n">
        <f aca="false">Parametros!$C$11+J35*Parametros!$C$9+G35*(270-Parametros!$C$13)+H35*(513-Parametros!$C$13)+Parametros!$C$12/2</f>
        <v>885.62</v>
      </c>
      <c r="P35" s="13" t="n">
        <f aca="false">4*J35</f>
        <v>16</v>
      </c>
      <c r="Q35" s="13" t="n">
        <f aca="false">2*(E35-1)*(J35+IF(I35&gt;0,1,0))</f>
        <v>0</v>
      </c>
      <c r="R35" s="13" t="n">
        <f aca="false">IF(I35&gt;0,4,0)</f>
        <v>0</v>
      </c>
      <c r="S35" s="13" t="n">
        <f aca="false">2*(E35+1)</f>
        <v>4</v>
      </c>
      <c r="T35" s="13" t="n">
        <f aca="false">E35*J35</f>
        <v>4</v>
      </c>
      <c r="U35" s="13" t="n">
        <f aca="false">2*E35*J35+IF(I35&gt;0,2*E35,0)</f>
        <v>8</v>
      </c>
      <c r="V35" s="13" t="n">
        <f aca="false">(E35+1)*J35</f>
        <v>8</v>
      </c>
      <c r="W35" s="13" t="n">
        <f aca="false">2*(E35+1)*(G35+IF(I35=270,1,0))</f>
        <v>12</v>
      </c>
      <c r="X35" s="13" t="n">
        <f aca="false">2*(E35+1)*(H35+IF(I35=513,1,0))</f>
        <v>0</v>
      </c>
      <c r="Y35" s="13" t="n">
        <f aca="false">2*(E35+1)</f>
        <v>4</v>
      </c>
      <c r="Z35" s="15" t="n">
        <f aca="false">P35*Kit!$D$15+Q35*Kit!$D$16+R35*Kit!$D$17+S35*Kit!$D$18+T35*Kit!$D$7+U35*Kit!$D$11+V35*Kit!$D$9+W35*Kit!$D$12+X35*Kit!$D$13+Y35*Kit!$D$14</f>
        <v>15.12</v>
      </c>
      <c r="AA35" s="16" t="n">
        <f aca="false">P35*Kit!$E$15+Q35*Kit!$E$16+R35*Kit!$E$17+S35*Kit!$E$18+T35*Kit!$E$7+U35*Kit!$E$11+V35*Kit!$E$9+W35*Kit!$E$12+X35*Kit!$E$13+Y35*Kit!$E$14</f>
        <v>280.4076</v>
      </c>
      <c r="AB35" s="17" t="n">
        <f aca="false">K35*J35/1000</f>
        <v>3.03608</v>
      </c>
      <c r="AC35" s="17" t="n">
        <f aca="false">N35/M35</f>
        <v>1.75532722984048</v>
      </c>
      <c r="AD35" s="18" t="s">
        <v>90</v>
      </c>
    </row>
    <row r="36" customFormat="false" ht="15" hidden="false" customHeight="false" outlineLevel="0" collapsed="false">
      <c r="A36" s="10" t="s">
        <v>131</v>
      </c>
      <c r="B36" s="11" t="s">
        <v>130</v>
      </c>
      <c r="C36" s="12" t="n">
        <v>415</v>
      </c>
      <c r="D36" s="12" t="n">
        <v>717</v>
      </c>
      <c r="E36" s="12" t="n">
        <v>1</v>
      </c>
      <c r="F36" s="11" t="s">
        <v>92</v>
      </c>
      <c r="G36" s="12" t="n">
        <v>5</v>
      </c>
      <c r="H36" s="12" t="n">
        <v>0</v>
      </c>
      <c r="I36" s="12" t="n">
        <v>0</v>
      </c>
      <c r="J36" s="13" t="n">
        <f aca="false">G36+H36+1</f>
        <v>6</v>
      </c>
      <c r="K36" s="14" t="n">
        <f aca="false">2*Parametros!$C$6+(E36-1)*Parametros!$C$7+E36*(D36-Parametros!$C$13)</f>
        <v>759.02</v>
      </c>
      <c r="L36" s="14" t="n">
        <f aca="false">IF(I36&gt;0,K36+2*Parametros!$C$10,K36)</f>
        <v>759.02</v>
      </c>
      <c r="M36" s="14" t="n">
        <f aca="false">C36+2*(Parametros!$C$8-Parametros!$C$5)</f>
        <v>500.26</v>
      </c>
      <c r="N36" s="14" t="n">
        <f aca="false">Parametros!$C$11+(J36+IF(I36&gt;0,1,0))*Parametros!$C$9+G36*(270-Parametros!$C$13)+H36*(513-Parametros!$C$13)+IF(I36&gt;0,I36-Parametros!$C$13,0)</f>
        <v>1401.88</v>
      </c>
      <c r="O36" s="14" t="n">
        <f aca="false">Parametros!$C$11+J36*Parametros!$C$9+G36*(270-Parametros!$C$13)+H36*(513-Parametros!$C$13)+Parametros!$C$12/2</f>
        <v>1409.38</v>
      </c>
      <c r="P36" s="13" t="n">
        <f aca="false">4*J36</f>
        <v>24</v>
      </c>
      <c r="Q36" s="13" t="n">
        <f aca="false">2*(E36-1)*(J36+IF(I36&gt;0,1,0))</f>
        <v>0</v>
      </c>
      <c r="R36" s="13" t="n">
        <f aca="false">IF(I36&gt;0,4,0)</f>
        <v>0</v>
      </c>
      <c r="S36" s="13" t="n">
        <f aca="false">2*(E36+1)</f>
        <v>4</v>
      </c>
      <c r="T36" s="13" t="n">
        <f aca="false">E36*J36</f>
        <v>6</v>
      </c>
      <c r="U36" s="13" t="n">
        <f aca="false">2*E36*J36+IF(I36&gt;0,2*E36,0)</f>
        <v>12</v>
      </c>
      <c r="V36" s="13" t="n">
        <f aca="false">(E36+1)*J36</f>
        <v>12</v>
      </c>
      <c r="W36" s="13" t="n">
        <f aca="false">2*(E36+1)*(G36+IF(I36=270,1,0))</f>
        <v>20</v>
      </c>
      <c r="X36" s="13" t="n">
        <f aca="false">2*(E36+1)*(H36+IF(I36=513,1,0))</f>
        <v>0</v>
      </c>
      <c r="Y36" s="13" t="n">
        <f aca="false">2*(E36+1)</f>
        <v>4</v>
      </c>
      <c r="Z36" s="15" t="n">
        <f aca="false">P36*Kit!$D$15+Q36*Kit!$D$16+R36*Kit!$D$17+S36*Kit!$D$18+T36*Kit!$D$7+U36*Kit!$D$11+V36*Kit!$D$9+W36*Kit!$D$12+X36*Kit!$D$13+Y36*Kit!$D$14</f>
        <v>22.7728</v>
      </c>
      <c r="AA36" s="16" t="n">
        <f aca="false">P36*Kit!$E$15+Q36*Kit!$E$16+R36*Kit!$E$17+S36*Kit!$E$18+T36*Kit!$E$7+U36*Kit!$E$11+V36*Kit!$E$9+W36*Kit!$E$12+X36*Kit!$E$13+Y36*Kit!$E$14</f>
        <v>422.4004</v>
      </c>
      <c r="AB36" s="17" t="n">
        <f aca="false">K36*J36/1000</f>
        <v>4.55412</v>
      </c>
      <c r="AC36" s="17" t="n">
        <f aca="false">N36/M36</f>
        <v>2.80230280254268</v>
      </c>
      <c r="AD36" s="18" t="s">
        <v>93</v>
      </c>
    </row>
    <row r="37" customFormat="false" ht="15" hidden="false" customHeight="false" outlineLevel="0" collapsed="false">
      <c r="A37" s="10" t="s">
        <v>132</v>
      </c>
      <c r="B37" s="11" t="s">
        <v>130</v>
      </c>
      <c r="C37" s="12" t="n">
        <v>415</v>
      </c>
      <c r="D37" s="12" t="n">
        <v>717</v>
      </c>
      <c r="E37" s="12" t="n">
        <v>1</v>
      </c>
      <c r="F37" s="11" t="s">
        <v>95</v>
      </c>
      <c r="G37" s="12" t="n">
        <v>6</v>
      </c>
      <c r="H37" s="12" t="n">
        <v>0</v>
      </c>
      <c r="I37" s="12" t="n">
        <v>0</v>
      </c>
      <c r="J37" s="13" t="n">
        <f aca="false">G37+H37+1</f>
        <v>7</v>
      </c>
      <c r="K37" s="14" t="n">
        <f aca="false">2*Parametros!$C$6+(E37-1)*Parametros!$C$7+E37*(D37-Parametros!$C$13)</f>
        <v>759.02</v>
      </c>
      <c r="L37" s="14" t="n">
        <f aca="false">IF(I37&gt;0,K37+2*Parametros!$C$10,K37)</f>
        <v>759.02</v>
      </c>
      <c r="M37" s="14" t="n">
        <f aca="false">C37+2*(Parametros!$C$8-Parametros!$C$5)</f>
        <v>500.26</v>
      </c>
      <c r="N37" s="14" t="n">
        <f aca="false">Parametros!$C$11+(J37+IF(I37&gt;0,1,0))*Parametros!$C$9+G37*(270-Parametros!$C$13)+H37*(513-Parametros!$C$13)+IF(I37&gt;0,I37-Parametros!$C$13,0)</f>
        <v>1663.76</v>
      </c>
      <c r="O37" s="14" t="n">
        <f aca="false">Parametros!$C$11+J37*Parametros!$C$9+G37*(270-Parametros!$C$13)+H37*(513-Parametros!$C$13)+Parametros!$C$12/2</f>
        <v>1671.26</v>
      </c>
      <c r="P37" s="13" t="n">
        <f aca="false">4*J37</f>
        <v>28</v>
      </c>
      <c r="Q37" s="13" t="n">
        <f aca="false">2*(E37-1)*(J37+IF(I37&gt;0,1,0))</f>
        <v>0</v>
      </c>
      <c r="R37" s="13" t="n">
        <f aca="false">IF(I37&gt;0,4,0)</f>
        <v>0</v>
      </c>
      <c r="S37" s="13" t="n">
        <f aca="false">2*(E37+1)</f>
        <v>4</v>
      </c>
      <c r="T37" s="13" t="n">
        <f aca="false">E37*J37</f>
        <v>7</v>
      </c>
      <c r="U37" s="13" t="n">
        <f aca="false">2*E37*J37+IF(I37&gt;0,2*E37,0)</f>
        <v>14</v>
      </c>
      <c r="V37" s="13" t="n">
        <f aca="false">(E37+1)*J37</f>
        <v>14</v>
      </c>
      <c r="W37" s="13" t="n">
        <f aca="false">2*(E37+1)*(G37+IF(I37=270,1,0))</f>
        <v>24</v>
      </c>
      <c r="X37" s="13" t="n">
        <f aca="false">2*(E37+1)*(H37+IF(I37=513,1,0))</f>
        <v>0</v>
      </c>
      <c r="Y37" s="13" t="n">
        <f aca="false">2*(E37+1)</f>
        <v>4</v>
      </c>
      <c r="Z37" s="15" t="n">
        <f aca="false">P37*Kit!$D$15+Q37*Kit!$D$16+R37*Kit!$D$17+S37*Kit!$D$18+T37*Kit!$D$7+U37*Kit!$D$11+V37*Kit!$D$9+W37*Kit!$D$12+X37*Kit!$D$13+Y37*Kit!$D$14</f>
        <v>26.5992</v>
      </c>
      <c r="AA37" s="16" t="n">
        <f aca="false">P37*Kit!$E$15+Q37*Kit!$E$16+R37*Kit!$E$17+S37*Kit!$E$18+T37*Kit!$E$7+U37*Kit!$E$11+V37*Kit!$E$9+W37*Kit!$E$12+X37*Kit!$E$13+Y37*Kit!$E$14</f>
        <v>493.3968</v>
      </c>
      <c r="AB37" s="17" t="n">
        <f aca="false">K37*J37/1000</f>
        <v>5.31314</v>
      </c>
      <c r="AC37" s="17" t="n">
        <f aca="false">N37/M37</f>
        <v>3.32579058889378</v>
      </c>
      <c r="AD37" s="18" t="s">
        <v>96</v>
      </c>
    </row>
    <row r="38" customFormat="false" ht="15" hidden="false" customHeight="false" outlineLevel="0" collapsed="false">
      <c r="A38" s="10" t="s">
        <v>133</v>
      </c>
      <c r="B38" s="11" t="s">
        <v>130</v>
      </c>
      <c r="C38" s="12" t="n">
        <v>415</v>
      </c>
      <c r="D38" s="12" t="n">
        <v>717</v>
      </c>
      <c r="E38" s="12" t="n">
        <v>1</v>
      </c>
      <c r="F38" s="11" t="s">
        <v>98</v>
      </c>
      <c r="G38" s="12" t="n">
        <v>2</v>
      </c>
      <c r="H38" s="12" t="n">
        <v>2</v>
      </c>
      <c r="I38" s="12" t="n">
        <v>0</v>
      </c>
      <c r="J38" s="13" t="n">
        <f aca="false">G38+H38+1</f>
        <v>5</v>
      </c>
      <c r="K38" s="14" t="n">
        <f aca="false">2*Parametros!$C$6+(E38-1)*Parametros!$C$7+E38*(D38-Parametros!$C$13)</f>
        <v>759.02</v>
      </c>
      <c r="L38" s="14" t="n">
        <f aca="false">IF(I38&gt;0,K38+2*Parametros!$C$10,K38)</f>
        <v>759.02</v>
      </c>
      <c r="M38" s="14" t="n">
        <f aca="false">C38+2*(Parametros!$C$8-Parametros!$C$5)</f>
        <v>500.26</v>
      </c>
      <c r="N38" s="14" t="n">
        <f aca="false">Parametros!$C$11+(J38+IF(I38&gt;0,1,0))*Parametros!$C$9+G38*(270-Parametros!$C$13)+H38*(513-Parametros!$C$13)+IF(I38&gt;0,I38-Parametros!$C$13,0)</f>
        <v>1626</v>
      </c>
      <c r="O38" s="14" t="n">
        <f aca="false">Parametros!$C$11+J38*Parametros!$C$9+G38*(270-Parametros!$C$13)+H38*(513-Parametros!$C$13)+Parametros!$C$12/2</f>
        <v>1633.5</v>
      </c>
      <c r="P38" s="13" t="n">
        <f aca="false">4*J38</f>
        <v>20</v>
      </c>
      <c r="Q38" s="13" t="n">
        <f aca="false">2*(E38-1)*(J38+IF(I38&gt;0,1,0))</f>
        <v>0</v>
      </c>
      <c r="R38" s="13" t="n">
        <f aca="false">IF(I38&gt;0,4,0)</f>
        <v>0</v>
      </c>
      <c r="S38" s="13" t="n">
        <f aca="false">2*(E38+1)</f>
        <v>4</v>
      </c>
      <c r="T38" s="13" t="n">
        <f aca="false">E38*J38</f>
        <v>5</v>
      </c>
      <c r="U38" s="13" t="n">
        <f aca="false">2*E38*J38+IF(I38&gt;0,2*E38,0)</f>
        <v>10</v>
      </c>
      <c r="V38" s="13" t="n">
        <f aca="false">(E38+1)*J38</f>
        <v>10</v>
      </c>
      <c r="W38" s="13" t="n">
        <f aca="false">2*(E38+1)*(G38+IF(I38=270,1,0))</f>
        <v>8</v>
      </c>
      <c r="X38" s="13" t="n">
        <f aca="false">2*(E38+1)*(H38+IF(I38=513,1,0))</f>
        <v>8</v>
      </c>
      <c r="Y38" s="13" t="n">
        <f aca="false">2*(E38+1)</f>
        <v>4</v>
      </c>
      <c r="Z38" s="15" t="n">
        <f aca="false">P38*Kit!$D$15+Q38*Kit!$D$16+R38*Kit!$D$17+S38*Kit!$D$18+T38*Kit!$D$7+U38*Kit!$D$11+V38*Kit!$D$9+W38*Kit!$D$12+X38*Kit!$D$13+Y38*Kit!$D$14</f>
        <v>19.3864</v>
      </c>
      <c r="AA38" s="16" t="n">
        <f aca="false">P38*Kit!$E$15+Q38*Kit!$E$16+R38*Kit!$E$17+S38*Kit!$E$18+T38*Kit!$E$7+U38*Kit!$E$11+V38*Kit!$E$9+W38*Kit!$E$12+X38*Kit!$E$13+Y38*Kit!$E$14</f>
        <v>359.7752</v>
      </c>
      <c r="AB38" s="17" t="n">
        <f aca="false">K38*J38/1000</f>
        <v>3.7951</v>
      </c>
      <c r="AC38" s="17" t="n">
        <f aca="false">N38/M38</f>
        <v>3.25030983888378</v>
      </c>
      <c r="AD38" s="18" t="s">
        <v>99</v>
      </c>
    </row>
    <row r="39" customFormat="false" ht="15" hidden="false" customHeight="false" outlineLevel="0" collapsed="false">
      <c r="A39" s="10" t="s">
        <v>134</v>
      </c>
      <c r="B39" s="11" t="s">
        <v>130</v>
      </c>
      <c r="C39" s="12" t="n">
        <v>415</v>
      </c>
      <c r="D39" s="12" t="n">
        <v>717</v>
      </c>
      <c r="E39" s="12" t="n">
        <v>1</v>
      </c>
      <c r="F39" s="11" t="s">
        <v>101</v>
      </c>
      <c r="G39" s="12" t="n">
        <v>0</v>
      </c>
      <c r="H39" s="12" t="n">
        <v>2</v>
      </c>
      <c r="I39" s="12" t="n">
        <v>513</v>
      </c>
      <c r="J39" s="13" t="n">
        <f aca="false">G39+H39+1</f>
        <v>3</v>
      </c>
      <c r="K39" s="14" t="n">
        <f aca="false">2*Parametros!$C$6+(E39-1)*Parametros!$C$7+E39*(D39-Parametros!$C$13)</f>
        <v>759.02</v>
      </c>
      <c r="L39" s="14" t="n">
        <f aca="false">IF(I39&gt;0,K39+2*Parametros!$C$10,K39)</f>
        <v>802.86</v>
      </c>
      <c r="M39" s="14" t="n">
        <f aca="false">C39+2*(Parametros!$C$8-Parametros!$C$5)</f>
        <v>500.26</v>
      </c>
      <c r="N39" s="14" t="n">
        <f aca="false">Parametros!$C$11+(J39+IF(I39&gt;0,1,0))*Parametros!$C$9+G39*(270-Parametros!$C$13)+H39*(513-Parametros!$C$13)+IF(I39&gt;0,I39-Parametros!$C$13,0)</f>
        <v>1607.12</v>
      </c>
      <c r="O39" s="14" t="n">
        <f aca="false">Parametros!$C$11+J39*Parametros!$C$9+G39*(270-Parametros!$C$13)+H39*(513-Parametros!$C$13)+Parametros!$C$12/2</f>
        <v>1109.74</v>
      </c>
      <c r="P39" s="13" t="n">
        <f aca="false">4*J39</f>
        <v>12</v>
      </c>
      <c r="Q39" s="13" t="n">
        <f aca="false">2*(E39-1)*(J39+IF(I39&gt;0,1,0))</f>
        <v>0</v>
      </c>
      <c r="R39" s="13" t="n">
        <f aca="false">IF(I39&gt;0,4,0)</f>
        <v>4</v>
      </c>
      <c r="S39" s="13" t="n">
        <f aca="false">2*(E39+1)</f>
        <v>4</v>
      </c>
      <c r="T39" s="13" t="n">
        <f aca="false">E39*J39</f>
        <v>3</v>
      </c>
      <c r="U39" s="13" t="n">
        <f aca="false">2*E39*J39+IF(I39&gt;0,2*E39,0)</f>
        <v>8</v>
      </c>
      <c r="V39" s="13" t="n">
        <f aca="false">(E39+1)*J39</f>
        <v>6</v>
      </c>
      <c r="W39" s="13" t="n">
        <f aca="false">2*(E39+1)*(G39+IF(I39=270,1,0))</f>
        <v>0</v>
      </c>
      <c r="X39" s="13" t="n">
        <f aca="false">2*(E39+1)*(H39+IF(I39=513,1,0))</f>
        <v>12</v>
      </c>
      <c r="Y39" s="13" t="n">
        <f aca="false">2*(E39+1)</f>
        <v>4</v>
      </c>
      <c r="Z39" s="15" t="n">
        <f aca="false">P39*Kit!$D$15+Q39*Kit!$D$16+R39*Kit!$D$17+S39*Kit!$D$18+T39*Kit!$D$7+U39*Kit!$D$11+V39*Kit!$D$9+W39*Kit!$D$12+X39*Kit!$D$13+Y39*Kit!$D$14</f>
        <v>12.6504</v>
      </c>
      <c r="AA39" s="16" t="n">
        <f aca="false">P39*Kit!$E$15+Q39*Kit!$E$16+R39*Kit!$E$17+S39*Kit!$E$18+T39*Kit!$E$7+U39*Kit!$E$11+V39*Kit!$E$9+W39*Kit!$E$12+X39*Kit!$E$13+Y39*Kit!$E$14</f>
        <v>233.9946</v>
      </c>
      <c r="AB39" s="17" t="n">
        <f aca="false">K39*J39/1000</f>
        <v>2.27706</v>
      </c>
      <c r="AC39" s="17" t="n">
        <f aca="false">N39/M39</f>
        <v>3.21256946387878</v>
      </c>
      <c r="AD39" s="18" t="s">
        <v>102</v>
      </c>
    </row>
    <row r="40" customFormat="false" ht="15" hidden="false" customHeight="false" outlineLevel="0" collapsed="false">
      <c r="A40" s="4" t="s">
        <v>135</v>
      </c>
      <c r="B40" s="5" t="s">
        <v>130</v>
      </c>
      <c r="C40" s="19" t="n">
        <v>415</v>
      </c>
      <c r="D40" s="19" t="n">
        <v>717</v>
      </c>
      <c r="E40" s="19" t="n">
        <v>2</v>
      </c>
      <c r="F40" s="5" t="s">
        <v>89</v>
      </c>
      <c r="G40" s="19" t="n">
        <v>3</v>
      </c>
      <c r="H40" s="19" t="n">
        <v>0</v>
      </c>
      <c r="I40" s="19" t="n">
        <v>0</v>
      </c>
      <c r="J40" s="20" t="n">
        <f aca="false">G40+H40+1</f>
        <v>4</v>
      </c>
      <c r="K40" s="21" t="n">
        <f aca="false">2*Parametros!$C$6+(E40-1)*Parametros!$C$7+E40*(D40-Parametros!$C$13)</f>
        <v>1496.12</v>
      </c>
      <c r="L40" s="21" t="n">
        <f aca="false">IF(I40&gt;0,K40+2*Parametros!$C$10,K40)</f>
        <v>1496.12</v>
      </c>
      <c r="M40" s="21" t="n">
        <f aca="false">C40+2*(Parametros!$C$8-Parametros!$C$5)</f>
        <v>500.26</v>
      </c>
      <c r="N40" s="21" t="n">
        <f aca="false">Parametros!$C$11+(J40+IF(I40&gt;0,1,0))*Parametros!$C$9+G40*(270-Parametros!$C$13)+H40*(513-Parametros!$C$13)+IF(I40&gt;0,I40-Parametros!$C$13,0)</f>
        <v>878.12</v>
      </c>
      <c r="O40" s="21" t="n">
        <f aca="false">Parametros!$C$11+J40*Parametros!$C$9+G40*(270-Parametros!$C$13)+H40*(513-Parametros!$C$13)+Parametros!$C$12/2</f>
        <v>885.62</v>
      </c>
      <c r="P40" s="20" t="n">
        <f aca="false">4*J40</f>
        <v>16</v>
      </c>
      <c r="Q40" s="20" t="n">
        <f aca="false">2*(E40-1)*(J40+IF(I40&gt;0,1,0))</f>
        <v>8</v>
      </c>
      <c r="R40" s="20" t="n">
        <f aca="false">IF(I40&gt;0,4,0)</f>
        <v>0</v>
      </c>
      <c r="S40" s="20" t="n">
        <f aca="false">2*(E40+1)</f>
        <v>6</v>
      </c>
      <c r="T40" s="20" t="n">
        <f aca="false">E40*J40</f>
        <v>8</v>
      </c>
      <c r="U40" s="20" t="n">
        <f aca="false">2*E40*J40+IF(I40&gt;0,2*E40,0)</f>
        <v>16</v>
      </c>
      <c r="V40" s="20" t="n">
        <f aca="false">(E40+1)*J40</f>
        <v>12</v>
      </c>
      <c r="W40" s="20" t="n">
        <f aca="false">2*(E40+1)*(G40+IF(I40=270,1,0))</f>
        <v>18</v>
      </c>
      <c r="X40" s="20" t="n">
        <f aca="false">2*(E40+1)*(H40+IF(I40=513,1,0))</f>
        <v>0</v>
      </c>
      <c r="Y40" s="20" t="n">
        <f aca="false">2*(E40+1)</f>
        <v>6</v>
      </c>
      <c r="Z40" s="22" t="n">
        <f aca="false">P40*Kit!$D$15+Q40*Kit!$D$16+R40*Kit!$D$17+S40*Kit!$D$18+T40*Kit!$D$7+U40*Kit!$D$11+V40*Kit!$D$9+W40*Kit!$D$12+X40*Kit!$D$13+Y40*Kit!$D$14</f>
        <v>29.2124</v>
      </c>
      <c r="AA40" s="23" t="n">
        <f aca="false">P40*Kit!$E$15+Q40*Kit!$E$16+R40*Kit!$E$17+S40*Kit!$E$18+T40*Kit!$E$7+U40*Kit!$E$11+V40*Kit!$E$9+W40*Kit!$E$12+X40*Kit!$E$13+Y40*Kit!$E$14</f>
        <v>543.9162</v>
      </c>
      <c r="AB40" s="24" t="n">
        <f aca="false">K40*J40/1000</f>
        <v>5.98448</v>
      </c>
      <c r="AC40" s="24" t="n">
        <f aca="false">N40/M40</f>
        <v>1.75532722984048</v>
      </c>
      <c r="AD40" s="8" t="s">
        <v>90</v>
      </c>
    </row>
    <row r="41" customFormat="false" ht="15" hidden="false" customHeight="false" outlineLevel="0" collapsed="false">
      <c r="A41" s="4" t="s">
        <v>136</v>
      </c>
      <c r="B41" s="5" t="s">
        <v>130</v>
      </c>
      <c r="C41" s="19" t="n">
        <v>415</v>
      </c>
      <c r="D41" s="19" t="n">
        <v>717</v>
      </c>
      <c r="E41" s="19" t="n">
        <v>2</v>
      </c>
      <c r="F41" s="5" t="s">
        <v>92</v>
      </c>
      <c r="G41" s="19" t="n">
        <v>5</v>
      </c>
      <c r="H41" s="19" t="n">
        <v>0</v>
      </c>
      <c r="I41" s="19" t="n">
        <v>0</v>
      </c>
      <c r="J41" s="20" t="n">
        <f aca="false">G41+H41+1</f>
        <v>6</v>
      </c>
      <c r="K41" s="21" t="n">
        <f aca="false">2*Parametros!$C$6+(E41-1)*Parametros!$C$7+E41*(D41-Parametros!$C$13)</f>
        <v>1496.12</v>
      </c>
      <c r="L41" s="21" t="n">
        <f aca="false">IF(I41&gt;0,K41+2*Parametros!$C$10,K41)</f>
        <v>1496.12</v>
      </c>
      <c r="M41" s="21" t="n">
        <f aca="false">C41+2*(Parametros!$C$8-Parametros!$C$5)</f>
        <v>500.26</v>
      </c>
      <c r="N41" s="21" t="n">
        <f aca="false">Parametros!$C$11+(J41+IF(I41&gt;0,1,0))*Parametros!$C$9+G41*(270-Parametros!$C$13)+H41*(513-Parametros!$C$13)+IF(I41&gt;0,I41-Parametros!$C$13,0)</f>
        <v>1401.88</v>
      </c>
      <c r="O41" s="21" t="n">
        <f aca="false">Parametros!$C$11+J41*Parametros!$C$9+G41*(270-Parametros!$C$13)+H41*(513-Parametros!$C$13)+Parametros!$C$12/2</f>
        <v>1409.38</v>
      </c>
      <c r="P41" s="20" t="n">
        <f aca="false">4*J41</f>
        <v>24</v>
      </c>
      <c r="Q41" s="20" t="n">
        <f aca="false">2*(E41-1)*(J41+IF(I41&gt;0,1,0))</f>
        <v>12</v>
      </c>
      <c r="R41" s="20" t="n">
        <f aca="false">IF(I41&gt;0,4,0)</f>
        <v>0</v>
      </c>
      <c r="S41" s="20" t="n">
        <f aca="false">2*(E41+1)</f>
        <v>6</v>
      </c>
      <c r="T41" s="20" t="n">
        <f aca="false">E41*J41</f>
        <v>12</v>
      </c>
      <c r="U41" s="20" t="n">
        <f aca="false">2*E41*J41+IF(I41&gt;0,2*E41,0)</f>
        <v>24</v>
      </c>
      <c r="V41" s="20" t="n">
        <f aca="false">(E41+1)*J41</f>
        <v>18</v>
      </c>
      <c r="W41" s="20" t="n">
        <f aca="false">2*(E41+1)*(G41+IF(I41=270,1,0))</f>
        <v>30</v>
      </c>
      <c r="X41" s="20" t="n">
        <f aca="false">2*(E41+1)*(H41+IF(I41=513,1,0))</f>
        <v>0</v>
      </c>
      <c r="Y41" s="20" t="n">
        <f aca="false">2*(E41+1)</f>
        <v>6</v>
      </c>
      <c r="Z41" s="22" t="n">
        <f aca="false">P41*Kit!$D$15+Q41*Kit!$D$16+R41*Kit!$D$17+S41*Kit!$D$18+T41*Kit!$D$7+U41*Kit!$D$11+V41*Kit!$D$9+W41*Kit!$D$12+X41*Kit!$D$13+Y41*Kit!$D$14</f>
        <v>43.9578</v>
      </c>
      <c r="AA41" s="23" t="n">
        <f aca="false">P41*Kit!$E$15+Q41*Kit!$E$16+R41*Kit!$E$17+S41*Kit!$E$18+T41*Kit!$E$7+U41*Kit!$E$11+V41*Kit!$E$9+W41*Kit!$E$12+X41*Kit!$E$13+Y41*Kit!$E$14</f>
        <v>818.5578</v>
      </c>
      <c r="AB41" s="24" t="n">
        <f aca="false">K41*J41/1000</f>
        <v>8.97672</v>
      </c>
      <c r="AC41" s="24" t="n">
        <f aca="false">N41/M41</f>
        <v>2.80230280254268</v>
      </c>
      <c r="AD41" s="8" t="s">
        <v>93</v>
      </c>
    </row>
    <row r="42" customFormat="false" ht="15" hidden="false" customHeight="false" outlineLevel="0" collapsed="false">
      <c r="A42" s="4" t="s">
        <v>137</v>
      </c>
      <c r="B42" s="5" t="s">
        <v>130</v>
      </c>
      <c r="C42" s="19" t="n">
        <v>415</v>
      </c>
      <c r="D42" s="19" t="n">
        <v>717</v>
      </c>
      <c r="E42" s="19" t="n">
        <v>2</v>
      </c>
      <c r="F42" s="5" t="s">
        <v>95</v>
      </c>
      <c r="G42" s="19" t="n">
        <v>6</v>
      </c>
      <c r="H42" s="19" t="n">
        <v>0</v>
      </c>
      <c r="I42" s="19" t="n">
        <v>0</v>
      </c>
      <c r="J42" s="20" t="n">
        <f aca="false">G42+H42+1</f>
        <v>7</v>
      </c>
      <c r="K42" s="21" t="n">
        <f aca="false">2*Parametros!$C$6+(E42-1)*Parametros!$C$7+E42*(D42-Parametros!$C$13)</f>
        <v>1496.12</v>
      </c>
      <c r="L42" s="21" t="n">
        <f aca="false">IF(I42&gt;0,K42+2*Parametros!$C$10,K42)</f>
        <v>1496.12</v>
      </c>
      <c r="M42" s="21" t="n">
        <f aca="false">C42+2*(Parametros!$C$8-Parametros!$C$5)</f>
        <v>500.26</v>
      </c>
      <c r="N42" s="21" t="n">
        <f aca="false">Parametros!$C$11+(J42+IF(I42&gt;0,1,0))*Parametros!$C$9+G42*(270-Parametros!$C$13)+H42*(513-Parametros!$C$13)+IF(I42&gt;0,I42-Parametros!$C$13,0)</f>
        <v>1663.76</v>
      </c>
      <c r="O42" s="21" t="n">
        <f aca="false">Parametros!$C$11+J42*Parametros!$C$9+G42*(270-Parametros!$C$13)+H42*(513-Parametros!$C$13)+Parametros!$C$12/2</f>
        <v>1671.26</v>
      </c>
      <c r="P42" s="20" t="n">
        <f aca="false">4*J42</f>
        <v>28</v>
      </c>
      <c r="Q42" s="20" t="n">
        <f aca="false">2*(E42-1)*(J42+IF(I42&gt;0,1,0))</f>
        <v>14</v>
      </c>
      <c r="R42" s="20" t="n">
        <f aca="false">IF(I42&gt;0,4,0)</f>
        <v>0</v>
      </c>
      <c r="S42" s="20" t="n">
        <f aca="false">2*(E42+1)</f>
        <v>6</v>
      </c>
      <c r="T42" s="20" t="n">
        <f aca="false">E42*J42</f>
        <v>14</v>
      </c>
      <c r="U42" s="20" t="n">
        <f aca="false">2*E42*J42+IF(I42&gt;0,2*E42,0)</f>
        <v>28</v>
      </c>
      <c r="V42" s="20" t="n">
        <f aca="false">(E42+1)*J42</f>
        <v>21</v>
      </c>
      <c r="W42" s="20" t="n">
        <f aca="false">2*(E42+1)*(G42+IF(I42=270,1,0))</f>
        <v>36</v>
      </c>
      <c r="X42" s="20" t="n">
        <f aca="false">2*(E42+1)*(H42+IF(I42=513,1,0))</f>
        <v>0</v>
      </c>
      <c r="Y42" s="20" t="n">
        <f aca="false">2*(E42+1)</f>
        <v>6</v>
      </c>
      <c r="Z42" s="22" t="n">
        <f aca="false">P42*Kit!$D$15+Q42*Kit!$D$16+R42*Kit!$D$17+S42*Kit!$D$18+T42*Kit!$D$7+U42*Kit!$D$11+V42*Kit!$D$9+W42*Kit!$D$12+X42*Kit!$D$13+Y42*Kit!$D$14</f>
        <v>51.3305</v>
      </c>
      <c r="AA42" s="23" t="n">
        <f aca="false">P42*Kit!$E$15+Q42*Kit!$E$16+R42*Kit!$E$17+S42*Kit!$E$18+T42*Kit!$E$7+U42*Kit!$E$11+V42*Kit!$E$9+W42*Kit!$E$12+X42*Kit!$E$13+Y42*Kit!$E$14</f>
        <v>955.8786</v>
      </c>
      <c r="AB42" s="24" t="n">
        <f aca="false">K42*J42/1000</f>
        <v>10.47284</v>
      </c>
      <c r="AC42" s="24" t="n">
        <f aca="false">N42/M42</f>
        <v>3.32579058889378</v>
      </c>
      <c r="AD42" s="8" t="s">
        <v>96</v>
      </c>
    </row>
    <row r="43" customFormat="false" ht="15" hidden="false" customHeight="false" outlineLevel="0" collapsed="false">
      <c r="A43" s="4" t="s">
        <v>138</v>
      </c>
      <c r="B43" s="5" t="s">
        <v>130</v>
      </c>
      <c r="C43" s="19" t="n">
        <v>415</v>
      </c>
      <c r="D43" s="19" t="n">
        <v>717</v>
      </c>
      <c r="E43" s="19" t="n">
        <v>2</v>
      </c>
      <c r="F43" s="5" t="s">
        <v>98</v>
      </c>
      <c r="G43" s="19" t="n">
        <v>2</v>
      </c>
      <c r="H43" s="19" t="n">
        <v>2</v>
      </c>
      <c r="I43" s="19" t="n">
        <v>0</v>
      </c>
      <c r="J43" s="20" t="n">
        <f aca="false">G43+H43+1</f>
        <v>5</v>
      </c>
      <c r="K43" s="21" t="n">
        <f aca="false">2*Parametros!$C$6+(E43-1)*Parametros!$C$7+E43*(D43-Parametros!$C$13)</f>
        <v>1496.12</v>
      </c>
      <c r="L43" s="21" t="n">
        <f aca="false">IF(I43&gt;0,K43+2*Parametros!$C$10,K43)</f>
        <v>1496.12</v>
      </c>
      <c r="M43" s="21" t="n">
        <f aca="false">C43+2*(Parametros!$C$8-Parametros!$C$5)</f>
        <v>500.26</v>
      </c>
      <c r="N43" s="21" t="n">
        <f aca="false">Parametros!$C$11+(J43+IF(I43&gt;0,1,0))*Parametros!$C$9+G43*(270-Parametros!$C$13)+H43*(513-Parametros!$C$13)+IF(I43&gt;0,I43-Parametros!$C$13,0)</f>
        <v>1626</v>
      </c>
      <c r="O43" s="21" t="n">
        <f aca="false">Parametros!$C$11+J43*Parametros!$C$9+G43*(270-Parametros!$C$13)+H43*(513-Parametros!$C$13)+Parametros!$C$12/2</f>
        <v>1633.5</v>
      </c>
      <c r="P43" s="20" t="n">
        <f aca="false">4*J43</f>
        <v>20</v>
      </c>
      <c r="Q43" s="20" t="n">
        <f aca="false">2*(E43-1)*(J43+IF(I43&gt;0,1,0))</f>
        <v>10</v>
      </c>
      <c r="R43" s="20" t="n">
        <f aca="false">IF(I43&gt;0,4,0)</f>
        <v>0</v>
      </c>
      <c r="S43" s="20" t="n">
        <f aca="false">2*(E43+1)</f>
        <v>6</v>
      </c>
      <c r="T43" s="20" t="n">
        <f aca="false">E43*J43</f>
        <v>10</v>
      </c>
      <c r="U43" s="20" t="n">
        <f aca="false">2*E43*J43+IF(I43&gt;0,2*E43,0)</f>
        <v>20</v>
      </c>
      <c r="V43" s="20" t="n">
        <f aca="false">(E43+1)*J43</f>
        <v>15</v>
      </c>
      <c r="W43" s="20" t="n">
        <f aca="false">2*(E43+1)*(G43+IF(I43=270,1,0))</f>
        <v>12</v>
      </c>
      <c r="X43" s="20" t="n">
        <f aca="false">2*(E43+1)*(H43+IF(I43=513,1,0))</f>
        <v>12</v>
      </c>
      <c r="Y43" s="20" t="n">
        <f aca="false">2*(E43+1)</f>
        <v>6</v>
      </c>
      <c r="Z43" s="22" t="n">
        <f aca="false">P43*Kit!$D$15+Q43*Kit!$D$16+R43*Kit!$D$17+S43*Kit!$D$18+T43*Kit!$D$7+U43*Kit!$D$11+V43*Kit!$D$9+W43*Kit!$D$12+X43*Kit!$D$13+Y43*Kit!$D$14</f>
        <v>37.2451</v>
      </c>
      <c r="AA43" s="23" t="n">
        <f aca="false">P43*Kit!$E$15+Q43*Kit!$E$16+R43*Kit!$E$17+S43*Kit!$E$18+T43*Kit!$E$7+U43*Kit!$E$11+V43*Kit!$E$9+W43*Kit!$E$12+X43*Kit!$E$13+Y43*Kit!$E$14</f>
        <v>693.7938</v>
      </c>
      <c r="AB43" s="24" t="n">
        <f aca="false">K43*J43/1000</f>
        <v>7.4806</v>
      </c>
      <c r="AC43" s="24" t="n">
        <f aca="false">N43/M43</f>
        <v>3.25030983888378</v>
      </c>
      <c r="AD43" s="8" t="s">
        <v>99</v>
      </c>
    </row>
    <row r="44" customFormat="false" ht="15" hidden="false" customHeight="false" outlineLevel="0" collapsed="false">
      <c r="A44" s="4" t="s">
        <v>139</v>
      </c>
      <c r="B44" s="5" t="s">
        <v>130</v>
      </c>
      <c r="C44" s="19" t="n">
        <v>415</v>
      </c>
      <c r="D44" s="19" t="n">
        <v>717</v>
      </c>
      <c r="E44" s="19" t="n">
        <v>2</v>
      </c>
      <c r="F44" s="5" t="s">
        <v>101</v>
      </c>
      <c r="G44" s="19" t="n">
        <v>0</v>
      </c>
      <c r="H44" s="19" t="n">
        <v>2</v>
      </c>
      <c r="I44" s="19" t="n">
        <v>513</v>
      </c>
      <c r="J44" s="20" t="n">
        <f aca="false">G44+H44+1</f>
        <v>3</v>
      </c>
      <c r="K44" s="21" t="n">
        <f aca="false">2*Parametros!$C$6+(E44-1)*Parametros!$C$7+E44*(D44-Parametros!$C$13)</f>
        <v>1496.12</v>
      </c>
      <c r="L44" s="21" t="n">
        <f aca="false">IF(I44&gt;0,K44+2*Parametros!$C$10,K44)</f>
        <v>1539.96</v>
      </c>
      <c r="M44" s="21" t="n">
        <f aca="false">C44+2*(Parametros!$C$8-Parametros!$C$5)</f>
        <v>500.26</v>
      </c>
      <c r="N44" s="21" t="n">
        <f aca="false">Parametros!$C$11+(J44+IF(I44&gt;0,1,0))*Parametros!$C$9+G44*(270-Parametros!$C$13)+H44*(513-Parametros!$C$13)+IF(I44&gt;0,I44-Parametros!$C$13,0)</f>
        <v>1607.12</v>
      </c>
      <c r="O44" s="21" t="n">
        <f aca="false">Parametros!$C$11+J44*Parametros!$C$9+G44*(270-Parametros!$C$13)+H44*(513-Parametros!$C$13)+Parametros!$C$12/2</f>
        <v>1109.74</v>
      </c>
      <c r="P44" s="20" t="n">
        <f aca="false">4*J44</f>
        <v>12</v>
      </c>
      <c r="Q44" s="20" t="n">
        <f aca="false">2*(E44-1)*(J44+IF(I44&gt;0,1,0))</f>
        <v>8</v>
      </c>
      <c r="R44" s="20" t="n">
        <f aca="false">IF(I44&gt;0,4,0)</f>
        <v>4</v>
      </c>
      <c r="S44" s="20" t="n">
        <f aca="false">2*(E44+1)</f>
        <v>6</v>
      </c>
      <c r="T44" s="20" t="n">
        <f aca="false">E44*J44</f>
        <v>6</v>
      </c>
      <c r="U44" s="20" t="n">
        <f aca="false">2*E44*J44+IF(I44&gt;0,2*E44,0)</f>
        <v>16</v>
      </c>
      <c r="V44" s="20" t="n">
        <f aca="false">(E44+1)*J44</f>
        <v>9</v>
      </c>
      <c r="W44" s="20" t="n">
        <f aca="false">2*(E44+1)*(G44+IF(I44=270,1,0))</f>
        <v>0</v>
      </c>
      <c r="X44" s="20" t="n">
        <f aca="false">2*(E44+1)*(H44+IF(I44=513,1,0))</f>
        <v>18</v>
      </c>
      <c r="Y44" s="20" t="n">
        <f aca="false">2*(E44+1)</f>
        <v>6</v>
      </c>
      <c r="Z44" s="22" t="n">
        <f aca="false">P44*Kit!$D$15+Q44*Kit!$D$16+R44*Kit!$D$17+S44*Kit!$D$18+T44*Kit!$D$7+U44*Kit!$D$11+V44*Kit!$D$9+W44*Kit!$D$12+X44*Kit!$D$13+Y44*Kit!$D$14</f>
        <v>24.0863</v>
      </c>
      <c r="AA44" s="23" t="n">
        <f aca="false">P44*Kit!$E$15+Q44*Kit!$E$16+R44*Kit!$E$17+S44*Kit!$E$18+T44*Kit!$E$7+U44*Kit!$E$11+V44*Kit!$E$9+W44*Kit!$E$12+X44*Kit!$E$13+Y44*Kit!$E$14</f>
        <v>446.9476</v>
      </c>
      <c r="AB44" s="24" t="n">
        <f aca="false">K44*J44/1000</f>
        <v>4.48836</v>
      </c>
      <c r="AC44" s="24" t="n">
        <f aca="false">N44/M44</f>
        <v>3.21256946387878</v>
      </c>
      <c r="AD44" s="8" t="s">
        <v>102</v>
      </c>
    </row>
    <row r="45" customFormat="false" ht="15" hidden="false" customHeight="false" outlineLevel="0" collapsed="false">
      <c r="A45" s="4" t="s">
        <v>140</v>
      </c>
      <c r="B45" s="5" t="s">
        <v>130</v>
      </c>
      <c r="C45" s="19" t="n">
        <v>415</v>
      </c>
      <c r="D45" s="19" t="n">
        <v>717</v>
      </c>
      <c r="E45" s="19" t="n">
        <v>3</v>
      </c>
      <c r="F45" s="5" t="s">
        <v>89</v>
      </c>
      <c r="G45" s="19" t="n">
        <v>3</v>
      </c>
      <c r="H45" s="19" t="n">
        <v>0</v>
      </c>
      <c r="I45" s="19" t="n">
        <v>0</v>
      </c>
      <c r="J45" s="20" t="n">
        <f aca="false">G45+H45+1</f>
        <v>4</v>
      </c>
      <c r="K45" s="21" t="n">
        <f aca="false">2*Parametros!$C$6+(E45-1)*Parametros!$C$7+E45*(D45-Parametros!$C$13)</f>
        <v>2233.22</v>
      </c>
      <c r="L45" s="21" t="n">
        <f aca="false">IF(I45&gt;0,K45+2*Parametros!$C$10,K45)</f>
        <v>2233.22</v>
      </c>
      <c r="M45" s="21" t="n">
        <f aca="false">C45+2*(Parametros!$C$8-Parametros!$C$5)</f>
        <v>500.26</v>
      </c>
      <c r="N45" s="21" t="n">
        <f aca="false">Parametros!$C$11+(J45+IF(I45&gt;0,1,0))*Parametros!$C$9+G45*(270-Parametros!$C$13)+H45*(513-Parametros!$C$13)+IF(I45&gt;0,I45-Parametros!$C$13,0)</f>
        <v>878.12</v>
      </c>
      <c r="O45" s="21" t="n">
        <f aca="false">Parametros!$C$11+J45*Parametros!$C$9+G45*(270-Parametros!$C$13)+H45*(513-Parametros!$C$13)+Parametros!$C$12/2</f>
        <v>885.62</v>
      </c>
      <c r="P45" s="20" t="n">
        <f aca="false">4*J45</f>
        <v>16</v>
      </c>
      <c r="Q45" s="20" t="n">
        <f aca="false">2*(E45-1)*(J45+IF(I45&gt;0,1,0))</f>
        <v>16</v>
      </c>
      <c r="R45" s="20" t="n">
        <f aca="false">IF(I45&gt;0,4,0)</f>
        <v>0</v>
      </c>
      <c r="S45" s="20" t="n">
        <f aca="false">2*(E45+1)</f>
        <v>8</v>
      </c>
      <c r="T45" s="20" t="n">
        <f aca="false">E45*J45</f>
        <v>12</v>
      </c>
      <c r="U45" s="20" t="n">
        <f aca="false">2*E45*J45+IF(I45&gt;0,2*E45,0)</f>
        <v>24</v>
      </c>
      <c r="V45" s="20" t="n">
        <f aca="false">(E45+1)*J45</f>
        <v>16</v>
      </c>
      <c r="W45" s="20" t="n">
        <f aca="false">2*(E45+1)*(G45+IF(I45=270,1,0))</f>
        <v>24</v>
      </c>
      <c r="X45" s="20" t="n">
        <f aca="false">2*(E45+1)*(H45+IF(I45=513,1,0))</f>
        <v>0</v>
      </c>
      <c r="Y45" s="20" t="n">
        <f aca="false">2*(E45+1)</f>
        <v>8</v>
      </c>
      <c r="Z45" s="22" t="n">
        <f aca="false">P45*Kit!$D$15+Q45*Kit!$D$16+R45*Kit!$D$17+S45*Kit!$D$18+T45*Kit!$D$7+U45*Kit!$D$11+V45*Kit!$D$9+W45*Kit!$D$12+X45*Kit!$D$13+Y45*Kit!$D$14</f>
        <v>43.3048</v>
      </c>
      <c r="AA45" s="23" t="n">
        <f aca="false">P45*Kit!$E$15+Q45*Kit!$E$16+R45*Kit!$E$17+S45*Kit!$E$18+T45*Kit!$E$7+U45*Kit!$E$11+V45*Kit!$E$9+W45*Kit!$E$12+X45*Kit!$E$13+Y45*Kit!$E$14</f>
        <v>807.4248</v>
      </c>
      <c r="AB45" s="24" t="n">
        <f aca="false">K45*J45/1000</f>
        <v>8.93288</v>
      </c>
      <c r="AC45" s="24" t="n">
        <f aca="false">N45/M45</f>
        <v>1.75532722984048</v>
      </c>
      <c r="AD45" s="8" t="s">
        <v>90</v>
      </c>
    </row>
    <row r="46" customFormat="false" ht="15" hidden="false" customHeight="false" outlineLevel="0" collapsed="false">
      <c r="A46" s="4" t="s">
        <v>141</v>
      </c>
      <c r="B46" s="5" t="s">
        <v>130</v>
      </c>
      <c r="C46" s="19" t="n">
        <v>415</v>
      </c>
      <c r="D46" s="19" t="n">
        <v>717</v>
      </c>
      <c r="E46" s="19" t="n">
        <v>3</v>
      </c>
      <c r="F46" s="5" t="s">
        <v>92</v>
      </c>
      <c r="G46" s="19" t="n">
        <v>5</v>
      </c>
      <c r="H46" s="19" t="n">
        <v>0</v>
      </c>
      <c r="I46" s="19" t="n">
        <v>0</v>
      </c>
      <c r="J46" s="20" t="n">
        <f aca="false">G46+H46+1</f>
        <v>6</v>
      </c>
      <c r="K46" s="21" t="n">
        <f aca="false">2*Parametros!$C$6+(E46-1)*Parametros!$C$7+E46*(D46-Parametros!$C$13)</f>
        <v>2233.22</v>
      </c>
      <c r="L46" s="21" t="n">
        <f aca="false">IF(I46&gt;0,K46+2*Parametros!$C$10,K46)</f>
        <v>2233.22</v>
      </c>
      <c r="M46" s="21" t="n">
        <f aca="false">C46+2*(Parametros!$C$8-Parametros!$C$5)</f>
        <v>500.26</v>
      </c>
      <c r="N46" s="21" t="n">
        <f aca="false">Parametros!$C$11+(J46+IF(I46&gt;0,1,0))*Parametros!$C$9+G46*(270-Parametros!$C$13)+H46*(513-Parametros!$C$13)+IF(I46&gt;0,I46-Parametros!$C$13,0)</f>
        <v>1401.88</v>
      </c>
      <c r="O46" s="21" t="n">
        <f aca="false">Parametros!$C$11+J46*Parametros!$C$9+G46*(270-Parametros!$C$13)+H46*(513-Parametros!$C$13)+Parametros!$C$12/2</f>
        <v>1409.38</v>
      </c>
      <c r="P46" s="20" t="n">
        <f aca="false">4*J46</f>
        <v>24</v>
      </c>
      <c r="Q46" s="20" t="n">
        <f aca="false">2*(E46-1)*(J46+IF(I46&gt;0,1,0))</f>
        <v>24</v>
      </c>
      <c r="R46" s="20" t="n">
        <f aca="false">IF(I46&gt;0,4,0)</f>
        <v>0</v>
      </c>
      <c r="S46" s="20" t="n">
        <f aca="false">2*(E46+1)</f>
        <v>8</v>
      </c>
      <c r="T46" s="20" t="n">
        <f aca="false">E46*J46</f>
        <v>18</v>
      </c>
      <c r="U46" s="20" t="n">
        <f aca="false">2*E46*J46+IF(I46&gt;0,2*E46,0)</f>
        <v>36</v>
      </c>
      <c r="V46" s="20" t="n">
        <f aca="false">(E46+1)*J46</f>
        <v>24</v>
      </c>
      <c r="W46" s="20" t="n">
        <f aca="false">2*(E46+1)*(G46+IF(I46=270,1,0))</f>
        <v>40</v>
      </c>
      <c r="X46" s="20" t="n">
        <f aca="false">2*(E46+1)*(H46+IF(I46=513,1,0))</f>
        <v>0</v>
      </c>
      <c r="Y46" s="20" t="n">
        <f aca="false">2*(E46+1)</f>
        <v>8</v>
      </c>
      <c r="Z46" s="22" t="n">
        <f aca="false">P46*Kit!$D$15+Q46*Kit!$D$16+R46*Kit!$D$17+S46*Kit!$D$18+T46*Kit!$D$7+U46*Kit!$D$11+V46*Kit!$D$9+W46*Kit!$D$12+X46*Kit!$D$13+Y46*Kit!$D$14</f>
        <v>65.1428</v>
      </c>
      <c r="AA46" s="23" t="n">
        <f aca="false">P46*Kit!$E$15+Q46*Kit!$E$16+R46*Kit!$E$17+S46*Kit!$E$18+T46*Kit!$E$7+U46*Kit!$E$11+V46*Kit!$E$9+W46*Kit!$E$12+X46*Kit!$E$13+Y46*Kit!$E$14</f>
        <v>1214.7152</v>
      </c>
      <c r="AB46" s="24" t="n">
        <f aca="false">K46*J46/1000</f>
        <v>13.39932</v>
      </c>
      <c r="AC46" s="24" t="n">
        <f aca="false">N46/M46</f>
        <v>2.80230280254268</v>
      </c>
      <c r="AD46" s="8" t="s">
        <v>93</v>
      </c>
    </row>
    <row r="47" customFormat="false" ht="15" hidden="false" customHeight="false" outlineLevel="0" collapsed="false">
      <c r="A47" s="4" t="s">
        <v>142</v>
      </c>
      <c r="B47" s="5" t="s">
        <v>130</v>
      </c>
      <c r="C47" s="19" t="n">
        <v>415</v>
      </c>
      <c r="D47" s="19" t="n">
        <v>717</v>
      </c>
      <c r="E47" s="19" t="n">
        <v>3</v>
      </c>
      <c r="F47" s="5" t="s">
        <v>95</v>
      </c>
      <c r="G47" s="19" t="n">
        <v>6</v>
      </c>
      <c r="H47" s="19" t="n">
        <v>0</v>
      </c>
      <c r="I47" s="19" t="n">
        <v>0</v>
      </c>
      <c r="J47" s="20" t="n">
        <f aca="false">G47+H47+1</f>
        <v>7</v>
      </c>
      <c r="K47" s="21" t="n">
        <f aca="false">2*Parametros!$C$6+(E47-1)*Parametros!$C$7+E47*(D47-Parametros!$C$13)</f>
        <v>2233.22</v>
      </c>
      <c r="L47" s="21" t="n">
        <f aca="false">IF(I47&gt;0,K47+2*Parametros!$C$10,K47)</f>
        <v>2233.22</v>
      </c>
      <c r="M47" s="21" t="n">
        <f aca="false">C47+2*(Parametros!$C$8-Parametros!$C$5)</f>
        <v>500.26</v>
      </c>
      <c r="N47" s="21" t="n">
        <f aca="false">Parametros!$C$11+(J47+IF(I47&gt;0,1,0))*Parametros!$C$9+G47*(270-Parametros!$C$13)+H47*(513-Parametros!$C$13)+IF(I47&gt;0,I47-Parametros!$C$13,0)</f>
        <v>1663.76</v>
      </c>
      <c r="O47" s="21" t="n">
        <f aca="false">Parametros!$C$11+J47*Parametros!$C$9+G47*(270-Parametros!$C$13)+H47*(513-Parametros!$C$13)+Parametros!$C$12/2</f>
        <v>1671.26</v>
      </c>
      <c r="P47" s="20" t="n">
        <f aca="false">4*J47</f>
        <v>28</v>
      </c>
      <c r="Q47" s="20" t="n">
        <f aca="false">2*(E47-1)*(J47+IF(I47&gt;0,1,0))</f>
        <v>28</v>
      </c>
      <c r="R47" s="20" t="n">
        <f aca="false">IF(I47&gt;0,4,0)</f>
        <v>0</v>
      </c>
      <c r="S47" s="20" t="n">
        <f aca="false">2*(E47+1)</f>
        <v>8</v>
      </c>
      <c r="T47" s="20" t="n">
        <f aca="false">E47*J47</f>
        <v>21</v>
      </c>
      <c r="U47" s="20" t="n">
        <f aca="false">2*E47*J47+IF(I47&gt;0,2*E47,0)</f>
        <v>42</v>
      </c>
      <c r="V47" s="20" t="n">
        <f aca="false">(E47+1)*J47</f>
        <v>28</v>
      </c>
      <c r="W47" s="20" t="n">
        <f aca="false">2*(E47+1)*(G47+IF(I47=270,1,0))</f>
        <v>48</v>
      </c>
      <c r="X47" s="20" t="n">
        <f aca="false">2*(E47+1)*(H47+IF(I47=513,1,0))</f>
        <v>0</v>
      </c>
      <c r="Y47" s="20" t="n">
        <f aca="false">2*(E47+1)</f>
        <v>8</v>
      </c>
      <c r="Z47" s="22" t="n">
        <f aca="false">P47*Kit!$D$15+Q47*Kit!$D$16+R47*Kit!$D$17+S47*Kit!$D$18+T47*Kit!$D$7+U47*Kit!$D$11+V47*Kit!$D$9+W47*Kit!$D$12+X47*Kit!$D$13+Y47*Kit!$D$14</f>
        <v>76.0618</v>
      </c>
      <c r="AA47" s="23" t="n">
        <f aca="false">P47*Kit!$E$15+Q47*Kit!$E$16+R47*Kit!$E$17+S47*Kit!$E$18+T47*Kit!$E$7+U47*Kit!$E$11+V47*Kit!$E$9+W47*Kit!$E$12+X47*Kit!$E$13+Y47*Kit!$E$14</f>
        <v>1418.3604</v>
      </c>
      <c r="AB47" s="24" t="n">
        <f aca="false">K47*J47/1000</f>
        <v>15.63254</v>
      </c>
      <c r="AC47" s="24" t="n">
        <f aca="false">N47/M47</f>
        <v>3.32579058889378</v>
      </c>
      <c r="AD47" s="8" t="s">
        <v>96</v>
      </c>
    </row>
    <row r="48" customFormat="false" ht="15" hidden="false" customHeight="false" outlineLevel="0" collapsed="false">
      <c r="A48" s="4" t="s">
        <v>143</v>
      </c>
      <c r="B48" s="5" t="s">
        <v>130</v>
      </c>
      <c r="C48" s="19" t="n">
        <v>415</v>
      </c>
      <c r="D48" s="19" t="n">
        <v>717</v>
      </c>
      <c r="E48" s="19" t="n">
        <v>3</v>
      </c>
      <c r="F48" s="5" t="s">
        <v>98</v>
      </c>
      <c r="G48" s="19" t="n">
        <v>2</v>
      </c>
      <c r="H48" s="19" t="n">
        <v>2</v>
      </c>
      <c r="I48" s="19" t="n">
        <v>0</v>
      </c>
      <c r="J48" s="20" t="n">
        <f aca="false">G48+H48+1</f>
        <v>5</v>
      </c>
      <c r="K48" s="21" t="n">
        <f aca="false">2*Parametros!$C$6+(E48-1)*Parametros!$C$7+E48*(D48-Parametros!$C$13)</f>
        <v>2233.22</v>
      </c>
      <c r="L48" s="21" t="n">
        <f aca="false">IF(I48&gt;0,K48+2*Parametros!$C$10,K48)</f>
        <v>2233.22</v>
      </c>
      <c r="M48" s="21" t="n">
        <f aca="false">C48+2*(Parametros!$C$8-Parametros!$C$5)</f>
        <v>500.26</v>
      </c>
      <c r="N48" s="21" t="n">
        <f aca="false">Parametros!$C$11+(J48+IF(I48&gt;0,1,0))*Parametros!$C$9+G48*(270-Parametros!$C$13)+H48*(513-Parametros!$C$13)+IF(I48&gt;0,I48-Parametros!$C$13,0)</f>
        <v>1626</v>
      </c>
      <c r="O48" s="21" t="n">
        <f aca="false">Parametros!$C$11+J48*Parametros!$C$9+G48*(270-Parametros!$C$13)+H48*(513-Parametros!$C$13)+Parametros!$C$12/2</f>
        <v>1633.5</v>
      </c>
      <c r="P48" s="20" t="n">
        <f aca="false">4*J48</f>
        <v>20</v>
      </c>
      <c r="Q48" s="20" t="n">
        <f aca="false">2*(E48-1)*(J48+IF(I48&gt;0,1,0))</f>
        <v>20</v>
      </c>
      <c r="R48" s="20" t="n">
        <f aca="false">IF(I48&gt;0,4,0)</f>
        <v>0</v>
      </c>
      <c r="S48" s="20" t="n">
        <f aca="false">2*(E48+1)</f>
        <v>8</v>
      </c>
      <c r="T48" s="20" t="n">
        <f aca="false">E48*J48</f>
        <v>15</v>
      </c>
      <c r="U48" s="20" t="n">
        <f aca="false">2*E48*J48+IF(I48&gt;0,2*E48,0)</f>
        <v>30</v>
      </c>
      <c r="V48" s="20" t="n">
        <f aca="false">(E48+1)*J48</f>
        <v>20</v>
      </c>
      <c r="W48" s="20" t="n">
        <f aca="false">2*(E48+1)*(G48+IF(I48=270,1,0))</f>
        <v>16</v>
      </c>
      <c r="X48" s="20" t="n">
        <f aca="false">2*(E48+1)*(H48+IF(I48=513,1,0))</f>
        <v>16</v>
      </c>
      <c r="Y48" s="20" t="n">
        <f aca="false">2*(E48+1)</f>
        <v>8</v>
      </c>
      <c r="Z48" s="22" t="n">
        <f aca="false">P48*Kit!$D$15+Q48*Kit!$D$16+R48*Kit!$D$17+S48*Kit!$D$18+T48*Kit!$D$7+U48*Kit!$D$11+V48*Kit!$D$9+W48*Kit!$D$12+X48*Kit!$D$13+Y48*Kit!$D$14</f>
        <v>55.1038</v>
      </c>
      <c r="AA48" s="23" t="n">
        <f aca="false">P48*Kit!$E$15+Q48*Kit!$E$16+R48*Kit!$E$17+S48*Kit!$E$18+T48*Kit!$E$7+U48*Kit!$E$11+V48*Kit!$E$9+W48*Kit!$E$12+X48*Kit!$E$13+Y48*Kit!$E$14</f>
        <v>1027.8124</v>
      </c>
      <c r="AB48" s="24" t="n">
        <f aca="false">K48*J48/1000</f>
        <v>11.1661</v>
      </c>
      <c r="AC48" s="24" t="n">
        <f aca="false">N48/M48</f>
        <v>3.25030983888378</v>
      </c>
      <c r="AD48" s="8" t="s">
        <v>99</v>
      </c>
    </row>
    <row r="49" customFormat="false" ht="15" hidden="false" customHeight="false" outlineLevel="0" collapsed="false">
      <c r="A49" s="4" t="s">
        <v>144</v>
      </c>
      <c r="B49" s="5" t="s">
        <v>130</v>
      </c>
      <c r="C49" s="19" t="n">
        <v>415</v>
      </c>
      <c r="D49" s="19" t="n">
        <v>717</v>
      </c>
      <c r="E49" s="19" t="n">
        <v>3</v>
      </c>
      <c r="F49" s="5" t="s">
        <v>101</v>
      </c>
      <c r="G49" s="19" t="n">
        <v>0</v>
      </c>
      <c r="H49" s="19" t="n">
        <v>2</v>
      </c>
      <c r="I49" s="19" t="n">
        <v>513</v>
      </c>
      <c r="J49" s="20" t="n">
        <f aca="false">G49+H49+1</f>
        <v>3</v>
      </c>
      <c r="K49" s="21" t="n">
        <f aca="false">2*Parametros!$C$6+(E49-1)*Parametros!$C$7+E49*(D49-Parametros!$C$13)</f>
        <v>2233.22</v>
      </c>
      <c r="L49" s="21" t="n">
        <f aca="false">IF(I49&gt;0,K49+2*Parametros!$C$10,K49)</f>
        <v>2277.06</v>
      </c>
      <c r="M49" s="21" t="n">
        <f aca="false">C49+2*(Parametros!$C$8-Parametros!$C$5)</f>
        <v>500.26</v>
      </c>
      <c r="N49" s="21" t="n">
        <f aca="false">Parametros!$C$11+(J49+IF(I49&gt;0,1,0))*Parametros!$C$9+G49*(270-Parametros!$C$13)+H49*(513-Parametros!$C$13)+IF(I49&gt;0,I49-Parametros!$C$13,0)</f>
        <v>1607.12</v>
      </c>
      <c r="O49" s="21" t="n">
        <f aca="false">Parametros!$C$11+J49*Parametros!$C$9+G49*(270-Parametros!$C$13)+H49*(513-Parametros!$C$13)+Parametros!$C$12/2</f>
        <v>1109.74</v>
      </c>
      <c r="P49" s="20" t="n">
        <f aca="false">4*J49</f>
        <v>12</v>
      </c>
      <c r="Q49" s="20" t="n">
        <f aca="false">2*(E49-1)*(J49+IF(I49&gt;0,1,0))</f>
        <v>16</v>
      </c>
      <c r="R49" s="20" t="n">
        <f aca="false">IF(I49&gt;0,4,0)</f>
        <v>4</v>
      </c>
      <c r="S49" s="20" t="n">
        <f aca="false">2*(E49+1)</f>
        <v>8</v>
      </c>
      <c r="T49" s="20" t="n">
        <f aca="false">E49*J49</f>
        <v>9</v>
      </c>
      <c r="U49" s="20" t="n">
        <f aca="false">2*E49*J49+IF(I49&gt;0,2*E49,0)</f>
        <v>24</v>
      </c>
      <c r="V49" s="20" t="n">
        <f aca="false">(E49+1)*J49</f>
        <v>12</v>
      </c>
      <c r="W49" s="20" t="n">
        <f aca="false">2*(E49+1)*(G49+IF(I49=270,1,0))</f>
        <v>0</v>
      </c>
      <c r="X49" s="20" t="n">
        <f aca="false">2*(E49+1)*(H49+IF(I49=513,1,0))</f>
        <v>24</v>
      </c>
      <c r="Y49" s="20" t="n">
        <f aca="false">2*(E49+1)</f>
        <v>8</v>
      </c>
      <c r="Z49" s="22" t="n">
        <f aca="false">P49*Kit!$D$15+Q49*Kit!$D$16+R49*Kit!$D$17+S49*Kit!$D$18+T49*Kit!$D$7+U49*Kit!$D$11+V49*Kit!$D$9+W49*Kit!$D$12+X49*Kit!$D$13+Y49*Kit!$D$14</f>
        <v>35.5222</v>
      </c>
      <c r="AA49" s="23" t="n">
        <f aca="false">P49*Kit!$E$15+Q49*Kit!$E$16+R49*Kit!$E$17+S49*Kit!$E$18+T49*Kit!$E$7+U49*Kit!$E$11+V49*Kit!$E$9+W49*Kit!$E$12+X49*Kit!$E$13+Y49*Kit!$E$14</f>
        <v>659.9006</v>
      </c>
      <c r="AB49" s="24" t="n">
        <f aca="false">K49*J49/1000</f>
        <v>6.69966</v>
      </c>
      <c r="AC49" s="24" t="n">
        <f aca="false">N49/M49</f>
        <v>3.21256946387878</v>
      </c>
      <c r="AD49" s="8" t="s">
        <v>102</v>
      </c>
    </row>
    <row r="51" customFormat="false" ht="15" hidden="false" customHeight="true" outlineLevel="0" collapsed="false">
      <c r="A51" s="9" t="s">
        <v>145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</sheetData>
  <autoFilter ref="A4:AD49"/>
  <mergeCells count="1">
    <mergeCell ref="A51:N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3" t="s">
        <v>148</v>
      </c>
      <c r="B4" s="3" t="s">
        <v>149</v>
      </c>
      <c r="C4" s="3" t="s">
        <v>150</v>
      </c>
      <c r="D4" s="3" t="s">
        <v>151</v>
      </c>
      <c r="E4" s="3" t="s">
        <v>152</v>
      </c>
      <c r="F4" s="3" t="s">
        <v>153</v>
      </c>
      <c r="G4" s="3" t="s">
        <v>154</v>
      </c>
      <c r="H4" s="3" t="s">
        <v>155</v>
      </c>
      <c r="I4" s="3" t="s">
        <v>82</v>
      </c>
      <c r="J4" s="3" t="s">
        <v>73</v>
      </c>
    </row>
    <row r="5" customFormat="false" ht="15" hidden="false" customHeight="false" outlineLevel="0" collapsed="false">
      <c r="A5" s="4" t="s">
        <v>156</v>
      </c>
      <c r="B5" s="19" t="s">
        <v>116</v>
      </c>
      <c r="C5" s="19" t="n">
        <v>17</v>
      </c>
      <c r="D5" s="25" t="n">
        <f aca="false">C5*INDEX(Modulos!$K$5:$K$49,MATCH($B5,Modulos!$A$5:$A$49,0))</f>
        <v>12903.34</v>
      </c>
      <c r="E5" s="19" t="n">
        <v>13350</v>
      </c>
      <c r="F5" s="25" t="n">
        <f aca="false">E5-D5</f>
        <v>446.66</v>
      </c>
      <c r="G5" s="26" t="n">
        <f aca="false">C5*INDEX(Modulos!$AA$5:$AA$49,MATCH($B5,Modulos!$A$5:$A$49,0))</f>
        <v>5978.1146</v>
      </c>
      <c r="H5" s="27" t="n">
        <f aca="false">C5*INDEX(Modulos!$AB$5:$AB$49,MATCH($B5,Modulos!$A$5:$A$49,0))</f>
        <v>90.32338</v>
      </c>
      <c r="I5" s="27" t="n">
        <f aca="false">C5*INDEX(Modulos!$Z$5:$Z$49,MATCH($B5,Modulos!$A$5:$A$49,0))</f>
        <v>325.5585</v>
      </c>
      <c r="J5" s="28" t="n">
        <f aca="false">C5*INDEX(Modulos!$Q$5:$Q$49,MATCH($B5,Modulos!$A$5:$A$49,0))</f>
        <v>0</v>
      </c>
    </row>
    <row r="6" customFormat="false" ht="15" hidden="false" customHeight="false" outlineLevel="0" collapsed="false">
      <c r="A6" s="4" t="s">
        <v>157</v>
      </c>
      <c r="B6" s="19" t="s">
        <v>116</v>
      </c>
      <c r="C6" s="19" t="n">
        <v>8</v>
      </c>
      <c r="D6" s="25" t="n">
        <f aca="false">C6*INDEX(Modulos!$K$5:$K$49,MATCH($B6,Modulos!$A$5:$A$49,0))</f>
        <v>6072.16</v>
      </c>
      <c r="E6" s="19" t="n">
        <v>6100</v>
      </c>
      <c r="F6" s="25" t="n">
        <f aca="false">E6-D6</f>
        <v>27.8400000000001</v>
      </c>
      <c r="G6" s="26" t="n">
        <f aca="false">C6*INDEX(Modulos!$AA$5:$AA$49,MATCH($B6,Modulos!$A$5:$A$49,0))</f>
        <v>2813.2304</v>
      </c>
      <c r="H6" s="27" t="n">
        <f aca="false">C6*INDEX(Modulos!$AB$5:$AB$49,MATCH($B6,Modulos!$A$5:$A$49,0))</f>
        <v>42.50512</v>
      </c>
      <c r="I6" s="27" t="n">
        <f aca="false">C6*INDEX(Modulos!$Z$5:$Z$49,MATCH($B6,Modulos!$A$5:$A$49,0))</f>
        <v>153.204</v>
      </c>
      <c r="J6" s="28" t="n">
        <f aca="false">C6*INDEX(Modulos!$Q$5:$Q$49,MATCH($B6,Modulos!$A$5:$A$49,0))</f>
        <v>0</v>
      </c>
    </row>
    <row r="7" customFormat="false" ht="15" hidden="false" customHeight="false" outlineLevel="0" collapsed="false">
      <c r="A7" s="4" t="s">
        <v>158</v>
      </c>
      <c r="B7" s="19" t="s">
        <v>133</v>
      </c>
      <c r="C7" s="19" t="n">
        <v>9</v>
      </c>
      <c r="D7" s="25" t="n">
        <f aca="false">C7*INDEX(Modulos!$K$5:$K$49,MATCH($B7,Modulos!$A$5:$A$49,0))</f>
        <v>6831.18</v>
      </c>
      <c r="E7" s="19" t="n">
        <v>6873</v>
      </c>
      <c r="F7" s="25" t="n">
        <f aca="false">E7-D7</f>
        <v>41.8199999999997</v>
      </c>
      <c r="G7" s="26" t="n">
        <f aca="false">C7*INDEX(Modulos!$AA$5:$AA$49,MATCH($B7,Modulos!$A$5:$A$49,0))</f>
        <v>3237.9768</v>
      </c>
      <c r="H7" s="27" t="n">
        <f aca="false">C7*INDEX(Modulos!$AB$5:$AB$49,MATCH($B7,Modulos!$A$5:$A$49,0))</f>
        <v>34.1559</v>
      </c>
      <c r="I7" s="27" t="n">
        <f aca="false">C7*INDEX(Modulos!$Z$5:$Z$49,MATCH($B7,Modulos!$A$5:$A$49,0))</f>
        <v>174.4776</v>
      </c>
      <c r="J7" s="28" t="n">
        <f aca="false">C7*INDEX(Modulos!$Q$5:$Q$49,MATCH($B7,Modulos!$A$5:$A$49,0))</f>
        <v>0</v>
      </c>
    </row>
    <row r="8" customFormat="false" ht="15" hidden="false" customHeight="false" outlineLevel="0" collapsed="false">
      <c r="A8" s="4" t="s">
        <v>159</v>
      </c>
      <c r="B8" s="19" t="s">
        <v>117</v>
      </c>
      <c r="C8" s="19" t="n">
        <v>8</v>
      </c>
      <c r="D8" s="25" t="n">
        <f aca="false">C8*INDEX(Modulos!$K$5:$K$49,MATCH($B8,Modulos!$A$5:$A$49,0))</f>
        <v>6072.16</v>
      </c>
      <c r="E8" s="19" t="n">
        <v>6548</v>
      </c>
      <c r="F8" s="25" t="n">
        <f aca="false">E8-D8</f>
        <v>475.84</v>
      </c>
      <c r="G8" s="26" t="n">
        <f aca="false">C8*INDEX(Modulos!$AA$5:$AA$49,MATCH($B8,Modulos!$A$5:$A$49,0))</f>
        <v>2068.2416</v>
      </c>
      <c r="H8" s="27" t="n">
        <f aca="false">C8*INDEX(Modulos!$AB$5:$AB$49,MATCH($B8,Modulos!$A$5:$A$49,0))</f>
        <v>30.3608</v>
      </c>
      <c r="I8" s="27" t="n">
        <f aca="false">C8*INDEX(Modulos!$Z$5:$Z$49,MATCH($B8,Modulos!$A$5:$A$49,0))</f>
        <v>112.5272</v>
      </c>
      <c r="J8" s="28" t="n">
        <f aca="false">C8*INDEX(Modulos!$Q$5:$Q$49,MATCH($B8,Modulos!$A$5:$A$49,0))</f>
        <v>0</v>
      </c>
    </row>
    <row r="9" customFormat="false" ht="15" hidden="false" customHeight="false" outlineLevel="0" collapsed="false">
      <c r="A9" s="4" t="s">
        <v>160</v>
      </c>
      <c r="B9" s="19" t="s">
        <v>94</v>
      </c>
      <c r="C9" s="19" t="n">
        <v>1</v>
      </c>
      <c r="D9" s="25" t="n">
        <f aca="false">C9*INDEX(Modulos!$K$5:$K$49,MATCH($B9,Modulos!$A$5:$A$49,0))</f>
        <v>457.02</v>
      </c>
      <c r="E9" s="19" t="n">
        <v>700</v>
      </c>
      <c r="F9" s="25" t="n">
        <f aca="false">E9-D9</f>
        <v>242.98</v>
      </c>
      <c r="G9" s="26" t="n">
        <f aca="false">C9*INDEX(Modulos!$AA$5:$AA$49,MATCH($B9,Modulos!$A$5:$A$49,0))</f>
        <v>232.1267</v>
      </c>
      <c r="H9" s="27" t="n">
        <f aca="false">C9*INDEX(Modulos!$AB$5:$AB$49,MATCH($B9,Modulos!$A$5:$A$49,0))</f>
        <v>3.19914</v>
      </c>
      <c r="I9" s="27" t="n">
        <f aca="false">C9*INDEX(Modulos!$Z$5:$Z$49,MATCH($B9,Modulos!$A$5:$A$49,0))</f>
        <v>12.8701</v>
      </c>
      <c r="J9" s="28" t="n">
        <f aca="false">C9*INDEX(Modulos!$Q$5:$Q$49,MATCH($B9,Modulos!$A$5:$A$49,0))</f>
        <v>0</v>
      </c>
    </row>
    <row r="10" customFormat="false" ht="15" hidden="false" customHeight="false" outlineLevel="0" collapsed="false">
      <c r="A10" s="4" t="s">
        <v>161</v>
      </c>
      <c r="B10" s="19" t="s">
        <v>129</v>
      </c>
      <c r="C10" s="19" t="n">
        <v>4</v>
      </c>
      <c r="D10" s="25" t="n">
        <f aca="false">C10*INDEX(Modulos!$K$5:$K$49,MATCH($B10,Modulos!$A$5:$A$49,0))</f>
        <v>3036.08</v>
      </c>
      <c r="E10" s="28"/>
      <c r="F10" s="28"/>
      <c r="G10" s="26" t="n">
        <f aca="false">C10*INDEX(Modulos!$AA$5:$AA$49,MATCH($B10,Modulos!$A$5:$A$49,0))</f>
        <v>1121.6304</v>
      </c>
      <c r="H10" s="27" t="n">
        <f aca="false">C10*INDEX(Modulos!$AB$5:$AB$49,MATCH($B10,Modulos!$A$5:$A$49,0))</f>
        <v>12.14432</v>
      </c>
      <c r="I10" s="27" t="n">
        <f aca="false">C10*INDEX(Modulos!$Z$5:$Z$49,MATCH($B10,Modulos!$A$5:$A$49,0))</f>
        <v>60.48</v>
      </c>
      <c r="J10" s="28" t="n">
        <f aca="false">C10*INDEX(Modulos!$Q$5:$Q$49,MATCH($B10,Modulos!$A$5:$A$49,0))</f>
        <v>0</v>
      </c>
    </row>
    <row r="11" customFormat="false" ht="15" hidden="false" customHeight="false" outlineLevel="0" collapsed="false">
      <c r="A11" s="4" t="s">
        <v>162</v>
      </c>
      <c r="B11" s="19" t="s">
        <v>129</v>
      </c>
      <c r="C11" s="19" t="n">
        <v>4</v>
      </c>
      <c r="D11" s="25" t="n">
        <f aca="false">C11*INDEX(Modulos!$K$5:$K$49,MATCH($B11,Modulos!$A$5:$A$49,0))</f>
        <v>3036.08</v>
      </c>
      <c r="E11" s="28"/>
      <c r="F11" s="28"/>
      <c r="G11" s="26" t="n">
        <f aca="false">C11*INDEX(Modulos!$AA$5:$AA$49,MATCH($B11,Modulos!$A$5:$A$49,0))</f>
        <v>1121.6304</v>
      </c>
      <c r="H11" s="27" t="n">
        <f aca="false">C11*INDEX(Modulos!$AB$5:$AB$49,MATCH($B11,Modulos!$A$5:$A$49,0))</f>
        <v>12.14432</v>
      </c>
      <c r="I11" s="27" t="n">
        <f aca="false">C11*INDEX(Modulos!$Z$5:$Z$49,MATCH($B11,Modulos!$A$5:$A$49,0))</f>
        <v>60.48</v>
      </c>
      <c r="J11" s="28" t="n">
        <f aca="false">C11*INDEX(Modulos!$Q$5:$Q$49,MATCH($B11,Modulos!$A$5:$A$49,0))</f>
        <v>0</v>
      </c>
    </row>
    <row r="12" customFormat="false" ht="15" hidden="false" customHeight="false" outlineLevel="0" collapsed="false">
      <c r="A12" s="4" t="s">
        <v>163</v>
      </c>
      <c r="B12" s="19" t="s">
        <v>113</v>
      </c>
      <c r="C12" s="19" t="n">
        <v>6</v>
      </c>
      <c r="D12" s="25" t="n">
        <f aca="false">C12*INDEX(Modulos!$K$5:$K$49,MATCH($B12,Modulos!$A$5:$A$49,0))</f>
        <v>4554.12</v>
      </c>
      <c r="E12" s="28"/>
      <c r="F12" s="28"/>
      <c r="G12" s="26" t="n">
        <f aca="false">C12*INDEX(Modulos!$AA$5:$AA$49,MATCH($B12,Modulos!$A$5:$A$49,0))</f>
        <v>1196.4696</v>
      </c>
      <c r="H12" s="27" t="n">
        <f aca="false">C12*INDEX(Modulos!$AB$5:$AB$49,MATCH($B12,Modulos!$A$5:$A$49,0))</f>
        <v>18.21648</v>
      </c>
      <c r="I12" s="27" t="n">
        <f aca="false">C12*INDEX(Modulos!$Z$5:$Z$49,MATCH($B12,Modulos!$A$5:$A$49,0))</f>
        <v>65.1816</v>
      </c>
      <c r="J12" s="28" t="n">
        <f aca="false">C12*INDEX(Modulos!$Q$5:$Q$49,MATCH($B12,Modulos!$A$5:$A$49,0))</f>
        <v>0</v>
      </c>
    </row>
    <row r="13" customFormat="false" ht="15" hidden="false" customHeight="false" outlineLevel="0" collapsed="false">
      <c r="A13" s="4" t="s">
        <v>164</v>
      </c>
      <c r="B13" s="19" t="s">
        <v>118</v>
      </c>
      <c r="C13" s="19" t="n">
        <v>2</v>
      </c>
      <c r="D13" s="25" t="n">
        <f aca="false">C13*INDEX(Modulos!$K$5:$K$49,MATCH($B13,Modulos!$A$5:$A$49,0))</f>
        <v>1518.04</v>
      </c>
      <c r="E13" s="28"/>
      <c r="F13" s="28"/>
      <c r="G13" s="26" t="n">
        <f aca="false">C13*INDEX(Modulos!$AA$5:$AA$49,MATCH($B13,Modulos!$A$5:$A$49,0))</f>
        <v>346.4952</v>
      </c>
      <c r="H13" s="27" t="n">
        <f aca="false">C13*INDEX(Modulos!$AB$5:$AB$49,MATCH($B13,Modulos!$A$5:$A$49,0))</f>
        <v>4.55412</v>
      </c>
      <c r="I13" s="27" t="n">
        <f aca="false">C13*INDEX(Modulos!$Z$5:$Z$49,MATCH($B13,Modulos!$A$5:$A$49,0))</f>
        <v>18.9162</v>
      </c>
      <c r="J13" s="28" t="n">
        <f aca="false">C13*INDEX(Modulos!$Q$5:$Q$49,MATCH($B13,Modulos!$A$5:$A$49,0))</f>
        <v>0</v>
      </c>
    </row>
    <row r="14" customFormat="false" ht="15" hidden="false" customHeight="false" outlineLevel="0" collapsed="false">
      <c r="A14" s="4" t="s">
        <v>165</v>
      </c>
      <c r="B14" s="28"/>
      <c r="C14" s="4" t="n">
        <f aca="false">SUM(C5:C13)</f>
        <v>59</v>
      </c>
      <c r="D14" s="28"/>
      <c r="E14" s="28"/>
      <c r="F14" s="28"/>
      <c r="G14" s="29" t="n">
        <f aca="false">SUM(G5:G13)</f>
        <v>18115.9157</v>
      </c>
      <c r="H14" s="30" t="n">
        <f aca="false">SUM(H5:H13)</f>
        <v>247.60358</v>
      </c>
      <c r="I14" s="30" t="n">
        <f aca="false">SUM(I5:I13)</f>
        <v>983.6952</v>
      </c>
      <c r="J14" s="31" t="n">
        <f aca="false">SUM(J5:J13)</f>
        <v>0</v>
      </c>
    </row>
    <row r="16" customFormat="false" ht="15" hidden="false" customHeight="false" outlineLevel="0" collapsed="false">
      <c r="A16" s="32" t="s">
        <v>166</v>
      </c>
    </row>
    <row r="17" customFormat="false" ht="15" hidden="false" customHeight="false" outlineLevel="0" collapsed="false">
      <c r="A17" s="3" t="s">
        <v>2</v>
      </c>
      <c r="B17" s="3" t="s">
        <v>167</v>
      </c>
      <c r="C17" s="3" t="s">
        <v>82</v>
      </c>
      <c r="D17" s="3" t="s">
        <v>154</v>
      </c>
    </row>
    <row r="18" customFormat="false" ht="15" hidden="false" customHeight="false" outlineLevel="0" collapsed="false">
      <c r="A18" s="4" t="s">
        <v>43</v>
      </c>
      <c r="B18" s="25" t="n">
        <f aca="false">SUMPRODUCT($C$5:$C$13,IFERROR(INDEX(Modulos!$P$5:$P$49,MATCH($B$5:$B$13,Modulos!$A$5:$A$49,0)),0))</f>
        <v>1316</v>
      </c>
      <c r="C18" s="27" t="n">
        <f aca="false">B18*Kit!$D$15</f>
        <v>58.2988</v>
      </c>
      <c r="D18" s="26" t="n">
        <f aca="false">B18*Kit!$E$15</f>
        <v>509.95</v>
      </c>
    </row>
    <row r="19" customFormat="false" ht="15" hidden="false" customHeight="false" outlineLevel="0" collapsed="false">
      <c r="A19" s="4" t="s">
        <v>47</v>
      </c>
      <c r="B19" s="25" t="n">
        <f aca="false">SUMPRODUCT($C$5:$C$13,IFERROR(INDEX(Modulos!$Q$5:$Q$49,MATCH($B$5:$B$13,Modulos!$A$5:$A$49,0)),0))</f>
        <v>0</v>
      </c>
      <c r="C19" s="27" t="n">
        <f aca="false">B19*Kit!$D$16</f>
        <v>0</v>
      </c>
      <c r="D19" s="26" t="n">
        <f aca="false">B19*Kit!$E$16</f>
        <v>0</v>
      </c>
    </row>
    <row r="20" customFormat="false" ht="15" hidden="false" customHeight="false" outlineLevel="0" collapsed="false">
      <c r="A20" s="4" t="s">
        <v>50</v>
      </c>
      <c r="B20" s="25" t="n">
        <f aca="false">SUMPRODUCT($C$5:$C$13,IFERROR(INDEX(Modulos!$R$5:$R$49,MATCH($B$5:$B$13,Modulos!$A$5:$A$49,0)),0))</f>
        <v>8</v>
      </c>
      <c r="C20" s="27" t="n">
        <f aca="false">B20*Kit!$D$17</f>
        <v>0.256</v>
      </c>
      <c r="D20" s="26" t="n">
        <f aca="false">B20*Kit!$E$17</f>
        <v>2.4024</v>
      </c>
    </row>
    <row r="21" customFormat="false" ht="15" hidden="false" customHeight="false" outlineLevel="0" collapsed="false">
      <c r="A21" s="4" t="s">
        <v>52</v>
      </c>
      <c r="B21" s="25" t="n">
        <f aca="false">SUMPRODUCT($C$5:$C$13,IFERROR(INDEX(Modulos!$S$5:$S$49,MATCH($B$5:$B$13,Modulos!$A$5:$A$49,0)),0))</f>
        <v>236</v>
      </c>
      <c r="C21" s="27" t="n">
        <f aca="false">B21*Kit!$D$18</f>
        <v>0.2596</v>
      </c>
      <c r="D21" s="26" t="n">
        <f aca="false">B21*Kit!$E$18</f>
        <v>2.2892</v>
      </c>
    </row>
    <row r="22" customFormat="false" ht="15" hidden="false" customHeight="false" outlineLevel="0" collapsed="false">
      <c r="A22" s="4" t="s">
        <v>8</v>
      </c>
      <c r="B22" s="25" t="n">
        <f aca="false">SUMPRODUCT($C$5:$C$13,--(LEFT($B$5:$B$13,7)="300×450"),IFERROR(INDEX(Modulos!$T$5:$T$49,MATCH($B$5:$B$13,Modulos!$A$5:$A$49,0)),0))</f>
        <v>7</v>
      </c>
      <c r="C22" s="27" t="n">
        <f aca="false">B22*Kit!$D$5</f>
        <v>7.8813</v>
      </c>
      <c r="D22" s="26" t="n">
        <f aca="false">B22*Kit!$E$5</f>
        <v>149.9813</v>
      </c>
    </row>
    <row r="23" customFormat="false" ht="15" hidden="false" customHeight="false" outlineLevel="0" collapsed="false">
      <c r="A23" s="4" t="s">
        <v>12</v>
      </c>
      <c r="B23" s="25" t="n">
        <f aca="false">SUMPRODUCT($C$5:$C$13,--(LEFT($B$5:$B$13,7)="300×754"),IFERROR(INDEX(Modulos!$T$5:$T$49,MATCH($B$5:$B$13,Modulos!$A$5:$A$49,0)),0))</f>
        <v>245</v>
      </c>
      <c r="C23" s="27" t="n">
        <f aca="false">B23*Kit!$D$6</f>
        <v>462.1925</v>
      </c>
      <c r="D23" s="26" t="n">
        <f aca="false">B23*Kit!$E$6</f>
        <v>8795.549</v>
      </c>
    </row>
    <row r="24" customFormat="false" ht="15" hidden="false" customHeight="false" outlineLevel="0" collapsed="false">
      <c r="A24" s="4" t="s">
        <v>15</v>
      </c>
      <c r="B24" s="25" t="n">
        <f aca="false">SUMPRODUCT($C$5:$C$13,--(LEFT($B$5:$B$13,7)="460×754"),IFERROR(INDEX(Modulos!$T$5:$T$49,MATCH($B$5:$B$13,Modulos!$A$5:$A$49,0)),0))</f>
        <v>77</v>
      </c>
      <c r="C24" s="27" t="n">
        <f aca="false">B24*Kit!$D$7</f>
        <v>222.7302</v>
      </c>
      <c r="D24" s="26" t="n">
        <f aca="false">B24*Kit!$E$7</f>
        <v>4238.619</v>
      </c>
    </row>
    <row r="25" customFormat="false" ht="15" hidden="false" customHeight="false" outlineLevel="0" collapsed="false">
      <c r="A25" s="4" t="s">
        <v>18</v>
      </c>
      <c r="B25" s="25" t="n">
        <f aca="false">SUMPRODUCT($C$5:$C$13,--(LEFT($B$5:$B$13,3)="300"),IFERROR(INDEX(Modulos!$V$5:$V$49,MATCH($B$5:$B$13,Modulos!$A$5:$A$49,0)),0))</f>
        <v>504</v>
      </c>
      <c r="C25" s="27" t="n">
        <f aca="false">B25*Kit!$D$8</f>
        <v>32.7096</v>
      </c>
      <c r="D25" s="26" t="n">
        <f aca="false">B25*Kit!$E$8</f>
        <v>622.8936</v>
      </c>
    </row>
    <row r="26" customFormat="false" ht="15" hidden="false" customHeight="false" outlineLevel="0" collapsed="false">
      <c r="A26" s="4" t="s">
        <v>22</v>
      </c>
      <c r="B26" s="25" t="n">
        <f aca="false">SUMPRODUCT($C$5:$C$13,--(LEFT($B$5:$B$13,3)="460"),IFERROR(INDEX(Modulos!$V$5:$V$49,MATCH($B$5:$B$13,Modulos!$A$5:$A$49,0)),0))</f>
        <v>154</v>
      </c>
      <c r="C26" s="27" t="n">
        <f aca="false">B26*Kit!$D$9</f>
        <v>14.4606</v>
      </c>
      <c r="D26" s="26" t="n">
        <f aca="false">B26*Kit!$E$9</f>
        <v>275.198</v>
      </c>
    </row>
    <row r="27" customFormat="false" ht="15" hidden="false" customHeight="false" outlineLevel="0" collapsed="false">
      <c r="A27" s="4" t="s">
        <v>26</v>
      </c>
      <c r="B27" s="25" t="n">
        <f aca="false">SUMPRODUCT($C$5:$C$13,--(MID($B$5:$B$13,5,3)="450"),IFERROR(INDEX(Modulos!$U$5:$U$49,MATCH($B$5:$B$13,Modulos!$A$5:$A$49,0)),0))</f>
        <v>14</v>
      </c>
      <c r="C27" s="27" t="n">
        <f aca="false">B27*Kit!$D$10</f>
        <v>1.3146</v>
      </c>
      <c r="D27" s="26" t="n">
        <f aca="false">B27*Kit!$E$10</f>
        <v>25.018</v>
      </c>
    </row>
    <row r="28" customFormat="false" ht="15" hidden="false" customHeight="false" outlineLevel="0" collapsed="false">
      <c r="A28" s="4" t="s">
        <v>28</v>
      </c>
      <c r="B28" s="25" t="n">
        <f aca="false">SUMPRODUCT($C$5:$C$13,--(MID($B$5:$B$13,5,3)="754"),IFERROR(INDEX(Modulos!$U$5:$U$49,MATCH($B$5:$B$13,Modulos!$A$5:$A$49,0)),0))</f>
        <v>648</v>
      </c>
      <c r="C28" s="27" t="n">
        <f aca="false">B28*Kit!$D$11</f>
        <v>105.1056</v>
      </c>
      <c r="D28" s="26" t="n">
        <f aca="false">B28*Kit!$E$11</f>
        <v>2000.7</v>
      </c>
    </row>
    <row r="29" customFormat="false" ht="15" hidden="false" customHeight="false" outlineLevel="0" collapsed="false">
      <c r="A29" s="4" t="s">
        <v>32</v>
      </c>
      <c r="B29" s="25" t="n">
        <f aca="false">SUMPRODUCT($C$5:$C$13,IFERROR(INDEX(Modulos!$W$5:$W$49,MATCH($B$5:$B$13,Modulos!$A$5:$A$49,0)),0))</f>
        <v>928</v>
      </c>
      <c r="C29" s="27" t="n">
        <f aca="false">B29*Kit!$D$12</f>
        <v>56.7008</v>
      </c>
      <c r="D29" s="26" t="n">
        <f aca="false">B29*Kit!$E$12</f>
        <v>1078.8928</v>
      </c>
    </row>
    <row r="30" customFormat="false" ht="15" hidden="false" customHeight="false" outlineLevel="0" collapsed="false">
      <c r="A30" s="4" t="s">
        <v>36</v>
      </c>
      <c r="B30" s="25" t="n">
        <f aca="false">SUMPRODUCT($C$5:$C$13,IFERROR(INDEX(Modulos!$X$5:$X$49,MATCH($B$5:$B$13,Modulos!$A$5:$A$49,0)),0))</f>
        <v>160</v>
      </c>
      <c r="C30" s="27" t="n">
        <f aca="false">B30*Kit!$D$13</f>
        <v>18.576</v>
      </c>
      <c r="D30" s="26" t="n">
        <f aca="false">B30*Kit!$E$13</f>
        <v>353.44</v>
      </c>
    </row>
    <row r="31" customFormat="false" ht="15" hidden="false" customHeight="false" outlineLevel="0" collapsed="false">
      <c r="A31" s="4" t="s">
        <v>40</v>
      </c>
      <c r="B31" s="25" t="n">
        <f aca="false">SUMPRODUCT($C$5:$C$13,IFERROR(INDEX(Modulos!$Y$5:$Y$49,MATCH($B$5:$B$13,Modulos!$A$5:$A$49,0)),0))</f>
        <v>236</v>
      </c>
      <c r="C31" s="27" t="n">
        <f aca="false">B31*Kit!$D$14</f>
        <v>3.2096</v>
      </c>
      <c r="D31" s="26" t="n">
        <f aca="false">B31*Kit!$E$14</f>
        <v>60.9824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32" t="s">
        <v>168</v>
      </c>
    </row>
    <row r="4" customFormat="false" ht="15" hidden="false" customHeight="false" outlineLevel="0" collapsed="false">
      <c r="A4" s="3" t="s">
        <v>169</v>
      </c>
      <c r="B4" s="3" t="s">
        <v>170</v>
      </c>
      <c r="C4" s="3" t="s">
        <v>171</v>
      </c>
    </row>
    <row r="5" customFormat="false" ht="15" hidden="false" customHeight="false" outlineLevel="0" collapsed="false">
      <c r="A5" s="5" t="s">
        <v>172</v>
      </c>
      <c r="B5" s="4" t="s">
        <v>173</v>
      </c>
      <c r="C5" s="33" t="n">
        <v>40.6</v>
      </c>
    </row>
    <row r="6" customFormat="false" ht="15" hidden="false" customHeight="false" outlineLevel="0" collapsed="false">
      <c r="A6" s="5" t="s">
        <v>174</v>
      </c>
      <c r="B6" s="4" t="s">
        <v>175</v>
      </c>
      <c r="C6" s="33" t="n">
        <v>61.61</v>
      </c>
    </row>
    <row r="7" customFormat="false" ht="15" hidden="false" customHeight="false" outlineLevel="0" collapsed="false">
      <c r="A7" s="5" t="s">
        <v>176</v>
      </c>
      <c r="B7" s="4" t="s">
        <v>177</v>
      </c>
      <c r="C7" s="33" t="n">
        <v>101.3</v>
      </c>
    </row>
    <row r="8" customFormat="false" ht="15" hidden="false" customHeight="false" outlineLevel="0" collapsed="false">
      <c r="A8" s="5" t="s">
        <v>178</v>
      </c>
      <c r="B8" s="4" t="s">
        <v>179</v>
      </c>
      <c r="C8" s="33" t="n">
        <v>83.23</v>
      </c>
    </row>
    <row r="9" customFormat="false" ht="15" hidden="false" customHeight="false" outlineLevel="0" collapsed="false">
      <c r="A9" s="5" t="s">
        <v>180</v>
      </c>
      <c r="B9" s="4" t="s">
        <v>181</v>
      </c>
      <c r="C9" s="33" t="n">
        <v>73.08</v>
      </c>
    </row>
    <row r="10" customFormat="false" ht="15" hidden="false" customHeight="false" outlineLevel="0" collapsed="false">
      <c r="A10" s="5" t="s">
        <v>182</v>
      </c>
      <c r="B10" s="4" t="s">
        <v>183</v>
      </c>
      <c r="C10" s="33" t="n">
        <v>21.92</v>
      </c>
    </row>
    <row r="11" customFormat="false" ht="15" hidden="false" customHeight="false" outlineLevel="0" collapsed="false">
      <c r="A11" s="5" t="s">
        <v>184</v>
      </c>
      <c r="B11" s="4" t="s">
        <v>185</v>
      </c>
      <c r="C11" s="33" t="n">
        <v>19.4</v>
      </c>
    </row>
    <row r="12" customFormat="false" ht="15" hidden="false" customHeight="false" outlineLevel="0" collapsed="false">
      <c r="A12" s="5" t="s">
        <v>186</v>
      </c>
      <c r="B12" s="4" t="s">
        <v>187</v>
      </c>
      <c r="C12" s="19" t="n">
        <v>15</v>
      </c>
    </row>
    <row r="13" customFormat="false" ht="15" hidden="false" customHeight="false" outlineLevel="0" collapsed="false">
      <c r="A13" s="5" t="s">
        <v>188</v>
      </c>
      <c r="B13" s="4" t="s">
        <v>189</v>
      </c>
      <c r="C13" s="5" t="n">
        <f aca="false">2*C5</f>
        <v>81.2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2026-09-10T11:47:31Z</dcterms:created>
  <dc:creator>openpyxl</dc:creator>
  <dc:description/>
  <dc:language>en-US</dc:language>
  <cp:lastModifiedBy/>
  <dcterms:modified xsi:type="dcterms:W3CDTF">2026-09-10T11:47:31Z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