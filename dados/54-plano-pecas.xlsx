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cas" sheetId="1" state="visible" r:id="rId3"/>
    <sheet name="Modulos" sheetId="2" state="visible" r:id="rId4"/>
    <sheet name="Showroom" sheetId="3" state="visible" r:id="rId5"/>
    <sheet name="Compr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<sst xmlns="http://schemas.openxmlformats.org/spreadsheetml/2006/main" count="198" uniqueCount="149">
  <si>
    <t xml:space="preserve">Nitron Mob PDV — as peças (lista de 10/09/2026)</t>
  </si>
  <si>
    <t xml:space="preserve">4 painéis com papel definido, 8 ripas (PIs existentes), 4 conectores. Custo unitário em amarelo é entrada; madeira a R$ 19.03/kg.</t>
  </si>
  <si>
    <t xml:space="preserve">Peça</t>
  </si>
  <si>
    <t xml:space="preserve">Código</t>
  </si>
  <si>
    <t xml:space="preserve">Medida (mm)</t>
  </si>
  <si>
    <t xml:space="preserve">Massa unit. (kg)</t>
  </si>
  <si>
    <t xml:space="preserve">Custo unit. (R$)</t>
  </si>
  <si>
    <t xml:space="preserve">Papel</t>
  </si>
  <si>
    <t xml:space="preserve">Painel 200×620</t>
  </si>
  <si>
    <t xml:space="preserve">novo · pinus 15</t>
  </si>
  <si>
    <t xml:space="preserve">200 × 620</t>
  </si>
  <si>
    <t xml:space="preserve">checkout</t>
  </si>
  <si>
    <t xml:space="preserve">Painel 305×620</t>
  </si>
  <si>
    <t xml:space="preserve">305 × 620</t>
  </si>
  <si>
    <t xml:space="preserve">parede / ponta — ajuste</t>
  </si>
  <si>
    <t xml:space="preserve">Painel 305×725</t>
  </si>
  <si>
    <t xml:space="preserve">305 × 725</t>
  </si>
  <si>
    <t xml:space="preserve">parede / ponta — padrão</t>
  </si>
  <si>
    <t xml:space="preserve">Painel 450×725</t>
  </si>
  <si>
    <t xml:space="preserve">450 × 725</t>
  </si>
  <si>
    <t xml:space="preserve">ilha</t>
  </si>
  <si>
    <t xml:space="preserve">Ripa largura 183</t>
  </si>
  <si>
    <t xml:space="preserve">BAL01AC</t>
  </si>
  <si>
    <t xml:space="preserve">183</t>
  </si>
  <si>
    <t xml:space="preserve">profundidade 268 (checkout)</t>
  </si>
  <si>
    <t xml:space="preserve">Ripa largura 287</t>
  </si>
  <si>
    <t xml:space="preserve">BLA03AC</t>
  </si>
  <si>
    <t xml:space="preserve">287</t>
  </si>
  <si>
    <t xml:space="preserve">profundidade 372 (parede, ponta)</t>
  </si>
  <si>
    <t xml:space="preserve">Ripa largura 415</t>
  </si>
  <si>
    <t xml:space="preserve">PSC02</t>
  </si>
  <si>
    <t xml:space="preserve">415</t>
  </si>
  <si>
    <t xml:space="preserve">profundidade 500 (ilha)</t>
  </si>
  <si>
    <t xml:space="preserve">Ripa comprimento 617</t>
  </si>
  <si>
    <t xml:space="preserve">PST02</t>
  </si>
  <si>
    <t xml:space="preserve">617</t>
  </si>
  <si>
    <t xml:space="preserve">vão de 620</t>
  </si>
  <si>
    <t xml:space="preserve">Ripa comprimento 717</t>
  </si>
  <si>
    <t xml:space="preserve">PSC04</t>
  </si>
  <si>
    <t xml:space="preserve">717</t>
  </si>
  <si>
    <t xml:space="preserve">vão de 725</t>
  </si>
  <si>
    <t xml:space="preserve">Ripa vertical 270</t>
  </si>
  <si>
    <t xml:space="preserve">BAL02AC</t>
  </si>
  <si>
    <t xml:space="preserve">270</t>
  </si>
  <si>
    <t xml:space="preserve">baia de 247 livres</t>
  </si>
  <si>
    <t xml:space="preserve">Ripa vertical 346</t>
  </si>
  <si>
    <t xml:space="preserve">PSA02</t>
  </si>
  <si>
    <t xml:space="preserve">346</t>
  </si>
  <si>
    <t xml:space="preserve">baia de 323 livres — lixeira e cesto médios</t>
  </si>
  <si>
    <t xml:space="preserve">Ripa vertical 513</t>
  </si>
  <si>
    <t xml:space="preserve">PSA05</t>
  </si>
  <si>
    <t xml:space="preserve">513</t>
  </si>
  <si>
    <t xml:space="preserve">baia de 490 livres — e a coroa da arara</t>
  </si>
  <si>
    <t xml:space="preserve">Pé</t>
  </si>
  <si>
    <t xml:space="preserve">sobra de ripa</t>
  </si>
  <si>
    <t xml:space="preserve">60</t>
  </si>
  <si>
    <t xml:space="preserve">Trizeta</t>
  </si>
  <si>
    <t xml:space="preserve">PP · molde existe</t>
  </si>
  <si>
    <t xml:space="preserve">—</t>
  </si>
  <si>
    <t xml:space="preserve">canto de cada nível</t>
  </si>
  <si>
    <t xml:space="preserve">Cruzeta</t>
  </si>
  <si>
    <t xml:space="preserve">PP · 4 injetadas</t>
  </si>
  <si>
    <t xml:space="preserve">zero neste plano: módulos de um vão</t>
  </si>
  <si>
    <t xml:space="preserve">Peça L</t>
  </si>
  <si>
    <t xml:space="preserve">coroa da arara</t>
  </si>
  <si>
    <t xml:space="preserve">Tampa</t>
  </si>
  <si>
    <t xml:space="preserve">uma por poste</t>
  </si>
  <si>
    <t xml:space="preserve">Os sete módulos do plano — todos de um vão, quatro postes próprios, zero cruzeta</t>
  </si>
  <si>
    <t xml:space="preserve">Contagem por módulo: trizeta 4 por nível de prateleira · tampa e pé 4 · painel 1 por prateleira · ripa de comprimento e de largura 2 por nível · ripa vertical 4 por baia. Coroa: 4 peças L no lugar das trizetas, +2 ripas de comprimento, sem ripa de largura e sem prateleira.</t>
  </si>
  <si>
    <t xml:space="preserve">Módulo</t>
  </si>
  <si>
    <t xml:space="preserve">Painel</t>
  </si>
  <si>
    <t xml:space="preserve">Ripa larg.</t>
  </si>
  <si>
    <t xml:space="preserve">Ripa compr.</t>
  </si>
  <si>
    <t xml:space="preserve">Pilha (de baixo p/ cima)</t>
  </si>
  <si>
    <t xml:space="preserve">Baias</t>
  </si>
  <si>
    <t xml:space="preserve">Coroa</t>
  </si>
  <si>
    <t xml:space="preserve">Prateleiras</t>
  </si>
  <si>
    <t xml:space="preserve">Comprimento (mm)</t>
  </si>
  <si>
    <t xml:space="preserve">Profundidade (mm)</t>
  </si>
  <si>
    <t xml:space="preserve">Altura (mm)</t>
  </si>
  <si>
    <t xml:space="preserve">Trizetas</t>
  </si>
  <si>
    <t xml:space="preserve">Peças L</t>
  </si>
  <si>
    <t xml:space="preserve">Tampas</t>
  </si>
  <si>
    <t xml:space="preserve">Painéis</t>
  </si>
  <si>
    <t xml:space="preserve">Ripas compr.</t>
  </si>
  <si>
    <t xml:space="preserve">Ripas larg.</t>
  </si>
  <si>
    <t xml:space="preserve">Ripas 270</t>
  </si>
  <si>
    <t xml:space="preserve">Ripas 346</t>
  </si>
  <si>
    <t xml:space="preserve">Ripas 513</t>
  </si>
  <si>
    <t xml:space="preserve">Pés</t>
  </si>
  <si>
    <t xml:space="preserve">Massa (kg)</t>
  </si>
  <si>
    <t xml:space="preserve">Custo material (R$)</t>
  </si>
  <si>
    <t xml:space="preserve">Uso</t>
  </si>
  <si>
    <t xml:space="preserve">parede-725</t>
  </si>
  <si>
    <t xml:space="preserve">305×725</t>
  </si>
  <si>
    <t xml:space="preserve">270·270·270·270·270·270</t>
  </si>
  <si>
    <t xml:space="preserve">Parede · sul, norte, entrada · 7 prateleiras, duas na zona dos olhos</t>
  </si>
  <si>
    <t xml:space="preserve">parede-620</t>
  </si>
  <si>
    <t xml:space="preserve">305×620</t>
  </si>
  <si>
    <t xml:space="preserve">Parede · ajuste de canto do sul</t>
  </si>
  <si>
    <t xml:space="preserve">parede-fundo</t>
  </si>
  <si>
    <t xml:space="preserve">513·346·346·270</t>
  </si>
  <si>
    <t xml:space="preserve">Parede do fundo · lixeira na baia de 490 e nas duas de 323; olhos a 1.542</t>
  </si>
  <si>
    <t xml:space="preserve">ponta</t>
  </si>
  <si>
    <t xml:space="preserve">346·346·270</t>
  </si>
  <si>
    <t xml:space="preserve">Ponta de gôndola · cabeceira das ilhas, 4 prateleiras, baias de 323</t>
  </si>
  <si>
    <t xml:space="preserve">450×725</t>
  </si>
  <si>
    <t xml:space="preserve">513·346</t>
  </si>
  <si>
    <t xml:space="preserve">Ilha · 500 de profundidade, topo aberto para produto alto; 2 × 2 costa a costa</t>
  </si>
  <si>
    <t xml:space="preserve">200×620</t>
  </si>
  <si>
    <t xml:space="preserve">270·270·270</t>
  </si>
  <si>
    <t xml:space="preserve">Checkout · 268 de profundidade, 4 prateleiras, segundo facing dos campeões</t>
  </si>
  <si>
    <t xml:space="preserve">arara</t>
  </si>
  <si>
    <t xml:space="preserve">513·513 + coroa 513</t>
  </si>
  <si>
    <t xml:space="preserve">Arara Nitron-Mob · vitrine da entrada; peça L como coroa</t>
  </si>
  <si>
    <t xml:space="preserve">O showroom com as peças novas — onde vai cada módulo e quanto</t>
  </si>
  <si>
    <t xml:space="preserve">Quantidades em azul são a proposta; troque e o resto recalcula. Paredes: 14 × 759 + 4 × 659 no sul (folga 88), 8 × 759 no norte (28), 9 × 759 no fundo (42). Entrada: 3 módulos + vitrine.</t>
  </si>
  <si>
    <t xml:space="preserve">Onde</t>
  </si>
  <si>
    <t xml:space="preserve">Qtd</t>
  </si>
  <si>
    <t xml:space="preserve">Comprimento montado (mm)</t>
  </si>
  <si>
    <t xml:space="preserve">Custo (R$)</t>
  </si>
  <si>
    <t xml:space="preserve">Frente (m)</t>
  </si>
  <si>
    <t xml:space="preserve">Paredão sul · cozinha</t>
  </si>
  <si>
    <t xml:space="preserve">Paredão sul · ajuste de canto</t>
  </si>
  <si>
    <t xml:space="preserve">Paredão norte · organização</t>
  </si>
  <si>
    <t xml:space="preserve">Paredão do fundo · banho e lavanderia</t>
  </si>
  <si>
    <t xml:space="preserve">Parede de entrada · frasqueiras e infantil</t>
  </si>
  <si>
    <t xml:space="preserve">Vitrine da entrada · araras Nitron-Mob</t>
  </si>
  <si>
    <t xml:space="preserve">Ilhas · 2 ilhas de 2 × 2</t>
  </si>
  <si>
    <t xml:space="preserve">Pontas de gôndola · 2 por ilha</t>
  </si>
  <si>
    <t xml:space="preserve">Corredor de checkout · 2 lados × 3</t>
  </si>
  <si>
    <t xml:space="preserve">TOTAL</t>
  </si>
  <si>
    <t xml:space="preserve">Lista de compras — painéis, ripas e conectores para o showroom inteiro</t>
  </si>
  <si>
    <t xml:space="preserve">Cada linha soma quantidade × módulos da aba Showroom. É a resposta do plano: quantos painéis de cada, quantas ripas de largura, comprimento e altura.</t>
  </si>
  <si>
    <t xml:space="preserve">Quantidade</t>
  </si>
  <si>
    <t xml:space="preserve">Onde entra</t>
  </si>
  <si>
    <t xml:space="preserve">ajuste de canto do sul</t>
  </si>
  <si>
    <t xml:space="preserve">paredes, pontas, araras</t>
  </si>
  <si>
    <t xml:space="preserve">ilhas</t>
  </si>
  <si>
    <t xml:space="preserve">checkout e ajuste</t>
  </si>
  <si>
    <t xml:space="preserve">todo o resto</t>
  </si>
  <si>
    <t xml:space="preserve">baias de 247</t>
  </si>
  <si>
    <t xml:space="preserve">fundo, pontas, ilhas</t>
  </si>
  <si>
    <t xml:space="preserve">fundo, ilhas, araras</t>
  </si>
  <si>
    <t xml:space="preserve">4 por nível</t>
  </si>
  <si>
    <t xml:space="preserve">araras</t>
  </si>
  <si>
    <t xml:space="preserve">nenhuma</t>
  </si>
  <si>
    <t xml:space="preserve">TOTAL material</t>
  </si>
  <si>
    <t xml:space="preserve">Ancoragem: 1 ponto por módulo de parede (bucha S8 + parafuso 5×50 + arruela) e união poste a poste em 2 níveis entre vizinhos. Custo só de material; sem corte, montagem, embalagem e frete. Painel de fundo não contado (a parede do prédio é o fundo).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</si>
</sst>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&quot;R$ &quot;0.0000"/>
    <numFmt numFmtId="167" formatCode="General"/>
    <numFmt numFmtId="168" formatCode="#,##0"/>
    <numFmt numFmtId="169" formatCode="0.0"/>
    <numFmt numFmtId="170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A7AC"/>
        <bgColor rgb="FF33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A7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1.0342</v>
      </c>
      <c r="E5" s="7" t="n">
        <v>19.6801</v>
      </c>
      <c r="F5" s="8" t="s">
        <v>11</v>
      </c>
    </row>
    <row r="6" customFormat="false" ht="15" hidden="false" customHeight="false" outlineLevel="0" collapsed="false">
      <c r="A6" s="4" t="s">
        <v>12</v>
      </c>
      <c r="B6" s="5" t="s">
        <v>9</v>
      </c>
      <c r="C6" s="5" t="s">
        <v>13</v>
      </c>
      <c r="D6" s="6" t="n">
        <v>1.5771</v>
      </c>
      <c r="E6" s="7" t="n">
        <v>30.0121</v>
      </c>
      <c r="F6" s="8" t="s">
        <v>14</v>
      </c>
    </row>
    <row r="7" customFormat="false" ht="15" hidden="false" customHeight="false" outlineLevel="0" collapsed="false">
      <c r="A7" s="4" t="s">
        <v>15</v>
      </c>
      <c r="B7" s="5" t="s">
        <v>9</v>
      </c>
      <c r="C7" s="5" t="s">
        <v>16</v>
      </c>
      <c r="D7" s="6" t="n">
        <v>1.8442</v>
      </c>
      <c r="E7" s="7" t="n">
        <v>35.0948</v>
      </c>
      <c r="F7" s="8" t="s">
        <v>17</v>
      </c>
    </row>
    <row r="8" customFormat="false" ht="15" hidden="false" customHeight="false" outlineLevel="0" collapsed="false">
      <c r="A8" s="4" t="s">
        <v>18</v>
      </c>
      <c r="B8" s="5" t="s">
        <v>9</v>
      </c>
      <c r="C8" s="5" t="s">
        <v>19</v>
      </c>
      <c r="D8" s="6" t="n">
        <v>2.7209</v>
      </c>
      <c r="E8" s="7" t="n">
        <v>51.7792</v>
      </c>
      <c r="F8" s="8" t="s">
        <v>20</v>
      </c>
    </row>
    <row r="9" customFormat="false" ht="15" hidden="false" customHeight="false" outlineLevel="0" collapsed="false">
      <c r="A9" s="4" t="s">
        <v>21</v>
      </c>
      <c r="B9" s="5" t="s">
        <v>22</v>
      </c>
      <c r="C9" s="5" t="s">
        <v>23</v>
      </c>
      <c r="D9" s="6" t="n">
        <v>0.0414</v>
      </c>
      <c r="E9" s="7" t="n">
        <v>0.788</v>
      </c>
      <c r="F9" s="8" t="s">
        <v>24</v>
      </c>
    </row>
    <row r="10" customFormat="false" ht="15" hidden="false" customHeight="false" outlineLevel="0" collapsed="false">
      <c r="A10" s="4" t="s">
        <v>25</v>
      </c>
      <c r="B10" s="5" t="s">
        <v>26</v>
      </c>
      <c r="C10" s="5" t="s">
        <v>27</v>
      </c>
      <c r="D10" s="6" t="n">
        <v>0.0649</v>
      </c>
      <c r="E10" s="7" t="n">
        <v>1.2359</v>
      </c>
      <c r="F10" s="8" t="s">
        <v>28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5" t="s">
        <v>31</v>
      </c>
      <c r="D11" s="6" t="n">
        <v>0.0939</v>
      </c>
      <c r="E11" s="7" t="n">
        <v>1.787</v>
      </c>
      <c r="F11" s="8" t="s">
        <v>32</v>
      </c>
    </row>
    <row r="12" customFormat="false" ht="15" hidden="false" customHeight="false" outlineLevel="0" collapsed="false">
      <c r="A12" s="4" t="s">
        <v>33</v>
      </c>
      <c r="B12" s="5" t="s">
        <v>34</v>
      </c>
      <c r="C12" s="5" t="s">
        <v>35</v>
      </c>
      <c r="D12" s="6" t="n">
        <v>0.1396</v>
      </c>
      <c r="E12" s="7" t="n">
        <v>2.6569</v>
      </c>
      <c r="F12" s="8" t="s">
        <v>36</v>
      </c>
    </row>
    <row r="13" customFormat="false" ht="15" hidden="false" customHeight="false" outlineLevel="0" collapsed="false">
      <c r="A13" s="4" t="s">
        <v>37</v>
      </c>
      <c r="B13" s="5" t="s">
        <v>38</v>
      </c>
      <c r="C13" s="5" t="s">
        <v>39</v>
      </c>
      <c r="D13" s="6" t="n">
        <v>0.1622</v>
      </c>
      <c r="E13" s="7" t="n">
        <v>3.0875</v>
      </c>
      <c r="F13" s="8" t="s">
        <v>40</v>
      </c>
    </row>
    <row r="14" customFormat="false" ht="15" hidden="false" customHeight="false" outlineLevel="0" collapsed="false">
      <c r="A14" s="4" t="s">
        <v>41</v>
      </c>
      <c r="B14" s="5" t="s">
        <v>42</v>
      </c>
      <c r="C14" s="5" t="s">
        <v>43</v>
      </c>
      <c r="D14" s="6" t="n">
        <v>0.0611</v>
      </c>
      <c r="E14" s="7" t="n">
        <v>1.1626</v>
      </c>
      <c r="F14" s="8" t="s">
        <v>44</v>
      </c>
    </row>
    <row r="15" customFormat="false" ht="15" hidden="false" customHeight="false" outlineLevel="0" collapsed="false">
      <c r="A15" s="4" t="s">
        <v>45</v>
      </c>
      <c r="B15" s="5" t="s">
        <v>46</v>
      </c>
      <c r="C15" s="5" t="s">
        <v>47</v>
      </c>
      <c r="D15" s="6" t="n">
        <v>0.0783</v>
      </c>
      <c r="E15" s="7" t="n">
        <v>1.4899</v>
      </c>
      <c r="F15" s="8" t="s">
        <v>48</v>
      </c>
    </row>
    <row r="16" customFormat="false" ht="15" hidden="false" customHeight="false" outlineLevel="0" collapsed="false">
      <c r="A16" s="4" t="s">
        <v>49</v>
      </c>
      <c r="B16" s="5" t="s">
        <v>50</v>
      </c>
      <c r="C16" s="5" t="s">
        <v>51</v>
      </c>
      <c r="D16" s="6" t="n">
        <v>0.1161</v>
      </c>
      <c r="E16" s="7" t="n">
        <v>2.209</v>
      </c>
      <c r="F16" s="8" t="s">
        <v>52</v>
      </c>
    </row>
    <row r="17" customFormat="false" ht="15" hidden="false" customHeight="false" outlineLevel="0" collapsed="false">
      <c r="A17" s="4" t="s">
        <v>53</v>
      </c>
      <c r="B17" s="5" t="s">
        <v>54</v>
      </c>
      <c r="C17" s="5" t="s">
        <v>55</v>
      </c>
      <c r="D17" s="6" t="n">
        <v>0.0136</v>
      </c>
      <c r="E17" s="7" t="n">
        <v>0.2584</v>
      </c>
      <c r="F17" s="8"/>
    </row>
    <row r="18" customFormat="false" ht="15" hidden="false" customHeight="false" outlineLevel="0" collapsed="false">
      <c r="A18" s="4" t="s">
        <v>56</v>
      </c>
      <c r="B18" s="5" t="s">
        <v>57</v>
      </c>
      <c r="C18" s="5" t="s">
        <v>58</v>
      </c>
      <c r="D18" s="6" t="n">
        <v>0.0443</v>
      </c>
      <c r="E18" s="7" t="n">
        <v>0.3875</v>
      </c>
      <c r="F18" s="8" t="s">
        <v>59</v>
      </c>
    </row>
    <row r="19" customFormat="false" ht="15" hidden="false" customHeight="false" outlineLevel="0" collapsed="false">
      <c r="A19" s="4" t="s">
        <v>60</v>
      </c>
      <c r="B19" s="5" t="s">
        <v>61</v>
      </c>
      <c r="C19" s="5" t="s">
        <v>58</v>
      </c>
      <c r="D19" s="6" t="n">
        <v>0.0566</v>
      </c>
      <c r="E19" s="7" t="n">
        <v>0.4951</v>
      </c>
      <c r="F19" s="8" t="s">
        <v>62</v>
      </c>
    </row>
    <row r="20" customFormat="false" ht="15" hidden="false" customHeight="false" outlineLevel="0" collapsed="false">
      <c r="A20" s="4" t="s">
        <v>63</v>
      </c>
      <c r="B20" s="5" t="s">
        <v>57</v>
      </c>
      <c r="C20" s="5" t="s">
        <v>58</v>
      </c>
      <c r="D20" s="6" t="n">
        <v>0.032</v>
      </c>
      <c r="E20" s="7" t="n">
        <v>0.3003</v>
      </c>
      <c r="F20" s="8" t="s">
        <v>64</v>
      </c>
    </row>
    <row r="21" customFormat="false" ht="15" hidden="false" customHeight="false" outlineLevel="0" collapsed="false">
      <c r="A21" s="4" t="s">
        <v>65</v>
      </c>
      <c r="B21" s="5" t="s">
        <v>57</v>
      </c>
      <c r="C21" s="5" t="s">
        <v>58</v>
      </c>
      <c r="D21" s="6" t="n">
        <v>0.0011</v>
      </c>
      <c r="E21" s="7" t="n">
        <v>0.0097</v>
      </c>
      <c r="F21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7" min="6" style="0" width="6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7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20" min="18" style="0" width="8"/>
    <col collapsed="false" customWidth="true" hidden="false" outlineLevel="0" max="21" min="21" style="0" width="5"/>
    <col collapsed="false" customWidth="true" hidden="false" outlineLevel="0" max="22" min="22" style="0" width="9"/>
    <col collapsed="false" customWidth="true" hidden="false" outlineLevel="0" max="23" min="23" style="0" width="14"/>
    <col collapsed="false" customWidth="true" hidden="false" outlineLevel="0" max="24" min="24" style="0" width="6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89</v>
      </c>
      <c r="V4" s="3" t="s">
        <v>90</v>
      </c>
      <c r="W4" s="3" t="s">
        <v>91</v>
      </c>
      <c r="X4" s="3" t="s">
        <v>92</v>
      </c>
    </row>
    <row r="5" customFormat="false" ht="15" hidden="false" customHeight="false" outlineLevel="0" collapsed="false">
      <c r="A5" s="4" t="s">
        <v>93</v>
      </c>
      <c r="B5" s="5" t="s">
        <v>94</v>
      </c>
      <c r="C5" s="9" t="n">
        <v>287</v>
      </c>
      <c r="D5" s="9" t="n">
        <v>717</v>
      </c>
      <c r="E5" s="5" t="s">
        <v>95</v>
      </c>
      <c r="F5" s="9" t="n">
        <v>6</v>
      </c>
      <c r="G5" s="9" t="n">
        <v>0</v>
      </c>
      <c r="H5" s="10" t="n">
        <f aca="false">F5+1</f>
        <v>7</v>
      </c>
      <c r="I5" s="11" t="n">
        <v>759</v>
      </c>
      <c r="J5" s="11" t="n">
        <v>372.3</v>
      </c>
      <c r="K5" s="11" t="n">
        <v>1663.8</v>
      </c>
      <c r="L5" s="10" t="n">
        <f aca="false">4*H5</f>
        <v>28</v>
      </c>
      <c r="M5" s="10" t="n">
        <f aca="false">IF(G5&gt;0,4,0)</f>
        <v>0</v>
      </c>
      <c r="N5" s="10" t="n">
        <v>4</v>
      </c>
      <c r="O5" s="10" t="n">
        <f aca="false">H5</f>
        <v>7</v>
      </c>
      <c r="P5" s="10" t="n">
        <f aca="false">2*(H5+IF(G5&gt;0,1,0))</f>
        <v>14</v>
      </c>
      <c r="Q5" s="10" t="n">
        <f aca="false">2*H5</f>
        <v>14</v>
      </c>
      <c r="R5" s="10" t="n">
        <f aca="false">4*6</f>
        <v>24</v>
      </c>
      <c r="S5" s="10" t="n">
        <f aca="false">4*0</f>
        <v>0</v>
      </c>
      <c r="T5" s="10" t="n">
        <f aca="false">4*0</f>
        <v>0</v>
      </c>
      <c r="U5" s="10" t="n">
        <v>4</v>
      </c>
      <c r="V5" s="12" t="n">
        <f aca="false">L5*Pecas!$D$18+M5*Pecas!$D$20+N5*Pecas!$D$21+O5*Pecas!$D$7+P5*Pecas!$D$13+Q5*Pecas!$D$10+R5*Pecas!$D$14+S5*Pecas!$D$15+T5*Pecas!$D$16+U5*Pecas!$D$17</f>
        <v>18.8544</v>
      </c>
      <c r="W5" s="13" t="n">
        <f aca="false">L5*Pecas!$E$18+M5*Pecas!$E$20+N5*Pecas!$E$21+O5*Pecas!$E$7+P5*Pecas!$E$13+Q5*Pecas!$E$10+R5*Pecas!$E$14+S5*Pecas!$E$15+T5*Pecas!$E$16+U5*Pecas!$E$17</f>
        <v>346.016</v>
      </c>
      <c r="X5" s="8" t="s">
        <v>96</v>
      </c>
    </row>
    <row r="6" customFormat="false" ht="15" hidden="false" customHeight="false" outlineLevel="0" collapsed="false">
      <c r="A6" s="4" t="s">
        <v>97</v>
      </c>
      <c r="B6" s="5" t="s">
        <v>98</v>
      </c>
      <c r="C6" s="9" t="n">
        <v>287</v>
      </c>
      <c r="D6" s="9" t="n">
        <v>617</v>
      </c>
      <c r="E6" s="5" t="s">
        <v>95</v>
      </c>
      <c r="F6" s="9" t="n">
        <v>6</v>
      </c>
      <c r="G6" s="9" t="n">
        <v>0</v>
      </c>
      <c r="H6" s="10" t="n">
        <f aca="false">F6+1</f>
        <v>7</v>
      </c>
      <c r="I6" s="11" t="n">
        <v>659</v>
      </c>
      <c r="J6" s="11" t="n">
        <v>372.3</v>
      </c>
      <c r="K6" s="11" t="n">
        <v>1663.8</v>
      </c>
      <c r="L6" s="10" t="n">
        <f aca="false">4*H6</f>
        <v>28</v>
      </c>
      <c r="M6" s="10" t="n">
        <f aca="false">IF(G6&gt;0,4,0)</f>
        <v>0</v>
      </c>
      <c r="N6" s="10" t="n">
        <v>4</v>
      </c>
      <c r="O6" s="10" t="n">
        <f aca="false">H6</f>
        <v>7</v>
      </c>
      <c r="P6" s="10" t="n">
        <f aca="false">2*(H6+IF(G6&gt;0,1,0))</f>
        <v>14</v>
      </c>
      <c r="Q6" s="10" t="n">
        <f aca="false">2*H6</f>
        <v>14</v>
      </c>
      <c r="R6" s="10" t="n">
        <f aca="false">4*6</f>
        <v>24</v>
      </c>
      <c r="S6" s="10" t="n">
        <f aca="false">4*0</f>
        <v>0</v>
      </c>
      <c r="T6" s="10" t="n">
        <f aca="false">4*0</f>
        <v>0</v>
      </c>
      <c r="U6" s="10" t="n">
        <v>4</v>
      </c>
      <c r="V6" s="12" t="n">
        <f aca="false">L6*Pecas!$D$18+M6*Pecas!$D$20+N6*Pecas!$D$21+O6*Pecas!$D$6+P6*Pecas!$D$12+Q6*Pecas!$D$10+R6*Pecas!$D$14+S6*Pecas!$D$15+T6*Pecas!$D$16+U6*Pecas!$D$17</f>
        <v>16.6683</v>
      </c>
      <c r="W6" s="13" t="n">
        <f aca="false">L6*Pecas!$E$18+M6*Pecas!$E$20+N6*Pecas!$E$21+O6*Pecas!$E$6+P6*Pecas!$E$12+Q6*Pecas!$E$10+R6*Pecas!$E$14+S6*Pecas!$E$15+T6*Pecas!$E$16+U6*Pecas!$E$17</f>
        <v>304.4087</v>
      </c>
      <c r="X6" s="8" t="s">
        <v>99</v>
      </c>
    </row>
    <row r="7" customFormat="false" ht="15" hidden="false" customHeight="false" outlineLevel="0" collapsed="false">
      <c r="A7" s="4" t="s">
        <v>100</v>
      </c>
      <c r="B7" s="5" t="s">
        <v>94</v>
      </c>
      <c r="C7" s="9" t="n">
        <v>287</v>
      </c>
      <c r="D7" s="9" t="n">
        <v>717</v>
      </c>
      <c r="E7" s="5" t="s">
        <v>101</v>
      </c>
      <c r="F7" s="9" t="n">
        <v>4</v>
      </c>
      <c r="G7" s="9" t="n">
        <v>0</v>
      </c>
      <c r="H7" s="10" t="n">
        <f aca="false">F7+1</f>
        <v>5</v>
      </c>
      <c r="I7" s="11" t="n">
        <v>759</v>
      </c>
      <c r="J7" s="11" t="n">
        <v>372.3</v>
      </c>
      <c r="K7" s="11" t="n">
        <v>1535</v>
      </c>
      <c r="L7" s="10" t="n">
        <f aca="false">4*H7</f>
        <v>20</v>
      </c>
      <c r="M7" s="10" t="n">
        <f aca="false">IF(G7&gt;0,4,0)</f>
        <v>0</v>
      </c>
      <c r="N7" s="10" t="n">
        <v>4</v>
      </c>
      <c r="O7" s="10" t="n">
        <f aca="false">H7</f>
        <v>5</v>
      </c>
      <c r="P7" s="10" t="n">
        <f aca="false">2*(H7+IF(G7&gt;0,1,0))</f>
        <v>10</v>
      </c>
      <c r="Q7" s="10" t="n">
        <f aca="false">2*H7</f>
        <v>10</v>
      </c>
      <c r="R7" s="10" t="n">
        <f aca="false">4*1</f>
        <v>4</v>
      </c>
      <c r="S7" s="10" t="n">
        <f aca="false">4*2</f>
        <v>8</v>
      </c>
      <c r="T7" s="10" t="n">
        <f aca="false">4*1</f>
        <v>4</v>
      </c>
      <c r="U7" s="10" t="n">
        <v>4</v>
      </c>
      <c r="V7" s="12" t="n">
        <f aca="false">L7*Pecas!$D$18+M7*Pecas!$D$20+N7*Pecas!$D$21+O7*Pecas!$D$7+P7*Pecas!$D$13+Q7*Pecas!$D$10+R7*Pecas!$D$14+S7*Pecas!$D$15+T7*Pecas!$D$16+U7*Pecas!$D$17</f>
        <v>13.772</v>
      </c>
      <c r="W7" s="13" t="n">
        <f aca="false">L7*Pecas!$E$18+M7*Pecas!$E$20+N7*Pecas!$E$21+O7*Pecas!$E$7+P7*Pecas!$E$13+Q7*Pecas!$E$10+R7*Pecas!$E$14+S7*Pecas!$E$15+T7*Pecas!$E$16+U7*Pecas!$E$17</f>
        <v>252.936</v>
      </c>
      <c r="X7" s="8" t="s">
        <v>102</v>
      </c>
    </row>
    <row r="8" customFormat="false" ht="15" hidden="false" customHeight="false" outlineLevel="0" collapsed="false">
      <c r="A8" s="4" t="s">
        <v>103</v>
      </c>
      <c r="B8" s="5" t="s">
        <v>94</v>
      </c>
      <c r="C8" s="9" t="n">
        <v>287</v>
      </c>
      <c r="D8" s="9" t="n">
        <v>717</v>
      </c>
      <c r="E8" s="5" t="s">
        <v>104</v>
      </c>
      <c r="F8" s="9" t="n">
        <v>3</v>
      </c>
      <c r="G8" s="9" t="n">
        <v>0</v>
      </c>
      <c r="H8" s="10" t="n">
        <f aca="false">F8+1</f>
        <v>4</v>
      </c>
      <c r="I8" s="11" t="n">
        <v>759</v>
      </c>
      <c r="J8" s="11" t="n">
        <v>372.3</v>
      </c>
      <c r="K8" s="11" t="n">
        <v>1030.1</v>
      </c>
      <c r="L8" s="10" t="n">
        <f aca="false">4*H8</f>
        <v>16</v>
      </c>
      <c r="M8" s="10" t="n">
        <f aca="false">IF(G8&gt;0,4,0)</f>
        <v>0</v>
      </c>
      <c r="N8" s="10" t="n">
        <v>4</v>
      </c>
      <c r="O8" s="10" t="n">
        <f aca="false">H8</f>
        <v>4</v>
      </c>
      <c r="P8" s="10" t="n">
        <f aca="false">2*(H8+IF(G8&gt;0,1,0))</f>
        <v>8</v>
      </c>
      <c r="Q8" s="10" t="n">
        <f aca="false">2*H8</f>
        <v>8</v>
      </c>
      <c r="R8" s="10" t="n">
        <f aca="false">4*1</f>
        <v>4</v>
      </c>
      <c r="S8" s="10" t="n">
        <f aca="false">4*2</f>
        <v>8</v>
      </c>
      <c r="T8" s="10" t="n">
        <f aca="false">4*0</f>
        <v>0</v>
      </c>
      <c r="U8" s="10" t="n">
        <v>4</v>
      </c>
      <c r="V8" s="12" t="n">
        <f aca="false">L8*Pecas!$D$18+M8*Pecas!$D$20+N8*Pecas!$D$21+O8*Pecas!$D$7+P8*Pecas!$D$13+Q8*Pecas!$D$10+R8*Pecas!$D$14+S8*Pecas!$D$15+T8*Pecas!$D$16+U8*Pecas!$D$17</f>
        <v>10.832</v>
      </c>
      <c r="W8" s="13" t="n">
        <f aca="false">L8*Pecas!$E$18+M8*Pecas!$E$20+N8*Pecas!$E$21+O8*Pecas!$E$7+P8*Pecas!$E$13+Q8*Pecas!$E$10+R8*Pecas!$E$14+S8*Pecas!$E$15+T8*Pecas!$E$16+U8*Pecas!$E$17</f>
        <v>198.8084</v>
      </c>
      <c r="X8" s="8" t="s">
        <v>105</v>
      </c>
    </row>
    <row r="9" customFormat="false" ht="15" hidden="false" customHeight="false" outlineLevel="0" collapsed="false">
      <c r="A9" s="4" t="s">
        <v>20</v>
      </c>
      <c r="B9" s="5" t="s">
        <v>106</v>
      </c>
      <c r="C9" s="9" t="n">
        <v>415</v>
      </c>
      <c r="D9" s="9" t="n">
        <v>717</v>
      </c>
      <c r="E9" s="5" t="s">
        <v>107</v>
      </c>
      <c r="F9" s="9" t="n">
        <v>2</v>
      </c>
      <c r="G9" s="9" t="n">
        <v>0</v>
      </c>
      <c r="H9" s="10" t="n">
        <f aca="false">F9+1</f>
        <v>3</v>
      </c>
      <c r="I9" s="11" t="n">
        <v>759</v>
      </c>
      <c r="J9" s="11" t="n">
        <v>500.3</v>
      </c>
      <c r="K9" s="11" t="n">
        <v>935.2</v>
      </c>
      <c r="L9" s="10" t="n">
        <f aca="false">4*H9</f>
        <v>12</v>
      </c>
      <c r="M9" s="10" t="n">
        <f aca="false">IF(G9&gt;0,4,0)</f>
        <v>0</v>
      </c>
      <c r="N9" s="10" t="n">
        <v>4</v>
      </c>
      <c r="O9" s="10" t="n">
        <f aca="false">H9</f>
        <v>3</v>
      </c>
      <c r="P9" s="10" t="n">
        <f aca="false">2*(H9+IF(G9&gt;0,1,0))</f>
        <v>6</v>
      </c>
      <c r="Q9" s="10" t="n">
        <f aca="false">2*H9</f>
        <v>6</v>
      </c>
      <c r="R9" s="10" t="n">
        <f aca="false">4*0</f>
        <v>0</v>
      </c>
      <c r="S9" s="10" t="n">
        <f aca="false">4*1</f>
        <v>4</v>
      </c>
      <c r="T9" s="10" t="n">
        <f aca="false">4*1</f>
        <v>4</v>
      </c>
      <c r="U9" s="10" t="n">
        <v>4</v>
      </c>
      <c r="V9" s="12" t="n">
        <f aca="false">L9*Pecas!$D$18+M9*Pecas!$D$20+N9*Pecas!$D$21+O9*Pecas!$D$8+P9*Pecas!$D$13+Q9*Pecas!$D$11+R9*Pecas!$D$14+S9*Pecas!$D$15+T9*Pecas!$D$16+U9*Pecas!$D$17</f>
        <v>11.0673</v>
      </c>
      <c r="W9" s="13" t="n">
        <f aca="false">L9*Pecas!$E$18+M9*Pecas!$E$20+N9*Pecas!$E$21+O9*Pecas!$E$8+P9*Pecas!$E$13+Q9*Pecas!$E$11+R9*Pecas!$E$14+S9*Pecas!$E$15+T9*Pecas!$E$16+U9*Pecas!$E$17</f>
        <v>205.1026</v>
      </c>
      <c r="X9" s="8" t="s">
        <v>108</v>
      </c>
    </row>
    <row r="10" customFormat="false" ht="15" hidden="false" customHeight="false" outlineLevel="0" collapsed="false">
      <c r="A10" s="4" t="s">
        <v>11</v>
      </c>
      <c r="B10" s="5" t="s">
        <v>109</v>
      </c>
      <c r="C10" s="9" t="n">
        <v>183</v>
      </c>
      <c r="D10" s="9" t="n">
        <v>617</v>
      </c>
      <c r="E10" s="5" t="s">
        <v>110</v>
      </c>
      <c r="F10" s="9" t="n">
        <v>3</v>
      </c>
      <c r="G10" s="9" t="n">
        <v>0</v>
      </c>
      <c r="H10" s="10" t="n">
        <f aca="false">F10+1</f>
        <v>4</v>
      </c>
      <c r="I10" s="11" t="n">
        <v>659</v>
      </c>
      <c r="J10" s="11" t="n">
        <v>268.3</v>
      </c>
      <c r="K10" s="11" t="n">
        <v>878.1</v>
      </c>
      <c r="L10" s="10" t="n">
        <f aca="false">4*H10</f>
        <v>16</v>
      </c>
      <c r="M10" s="10" t="n">
        <f aca="false">IF(G10&gt;0,4,0)</f>
        <v>0</v>
      </c>
      <c r="N10" s="10" t="n">
        <v>4</v>
      </c>
      <c r="O10" s="10" t="n">
        <f aca="false">H10</f>
        <v>4</v>
      </c>
      <c r="P10" s="10" t="n">
        <f aca="false">2*(H10+IF(G10&gt;0,1,0))</f>
        <v>8</v>
      </c>
      <c r="Q10" s="10" t="n">
        <f aca="false">2*H10</f>
        <v>8</v>
      </c>
      <c r="R10" s="10" t="n">
        <f aca="false">4*3</f>
        <v>12</v>
      </c>
      <c r="S10" s="10" t="n">
        <f aca="false">4*0</f>
        <v>0</v>
      </c>
      <c r="T10" s="10" t="n">
        <f aca="false">4*0</f>
        <v>0</v>
      </c>
      <c r="U10" s="10" t="n">
        <v>4</v>
      </c>
      <c r="V10" s="12" t="n">
        <f aca="false">L10*Pecas!$D$18+M10*Pecas!$D$20+N10*Pecas!$D$21+O10*Pecas!$D$5+P10*Pecas!$D$12+Q10*Pecas!$D$9+R10*Pecas!$D$14+S10*Pecas!$D$15+T10*Pecas!$D$16+U10*Pecas!$D$17</f>
        <v>7.0856</v>
      </c>
      <c r="W10" s="13" t="n">
        <f aca="false">L10*Pecas!$E$18+M10*Pecas!$E$20+N10*Pecas!$E$21+O10*Pecas!$E$5+P10*Pecas!$E$12+Q10*Pecas!$E$9+R10*Pecas!$E$14+S10*Pecas!$E$15+T10*Pecas!$E$16+U10*Pecas!$E$17</f>
        <v>127.5032</v>
      </c>
      <c r="X10" s="8" t="s">
        <v>111</v>
      </c>
    </row>
    <row r="11" customFormat="false" ht="15" hidden="false" customHeight="false" outlineLevel="0" collapsed="false">
      <c r="A11" s="4" t="s">
        <v>112</v>
      </c>
      <c r="B11" s="5" t="s">
        <v>94</v>
      </c>
      <c r="C11" s="9" t="n">
        <v>287</v>
      </c>
      <c r="D11" s="9" t="n">
        <v>717</v>
      </c>
      <c r="E11" s="5" t="s">
        <v>113</v>
      </c>
      <c r="F11" s="9" t="n">
        <v>2</v>
      </c>
      <c r="G11" s="9" t="n">
        <v>513</v>
      </c>
      <c r="H11" s="10" t="n">
        <f aca="false">F11+1</f>
        <v>3</v>
      </c>
      <c r="I11" s="11" t="n">
        <v>759</v>
      </c>
      <c r="J11" s="11" t="n">
        <v>372.3</v>
      </c>
      <c r="K11" s="11" t="n">
        <v>1607.1</v>
      </c>
      <c r="L11" s="10" t="n">
        <f aca="false">4*H11</f>
        <v>12</v>
      </c>
      <c r="M11" s="10" t="n">
        <f aca="false">IF(G11&gt;0,4,0)</f>
        <v>4</v>
      </c>
      <c r="N11" s="10" t="n">
        <v>4</v>
      </c>
      <c r="O11" s="10" t="n">
        <f aca="false">H11</f>
        <v>3</v>
      </c>
      <c r="P11" s="10" t="n">
        <f aca="false">2*(H11+IF(G11&gt;0,1,0))</f>
        <v>8</v>
      </c>
      <c r="Q11" s="10" t="n">
        <f aca="false">2*H11</f>
        <v>6</v>
      </c>
      <c r="R11" s="10" t="n">
        <f aca="false">4*0</f>
        <v>0</v>
      </c>
      <c r="S11" s="10" t="n">
        <f aca="false">4*0</f>
        <v>0</v>
      </c>
      <c r="T11" s="10" t="n">
        <f aca="false">4*3</f>
        <v>12</v>
      </c>
      <c r="U11" s="10" t="n">
        <v>4</v>
      </c>
      <c r="V11" s="12" t="n">
        <f aca="false">L11*Pecas!$D$18+M11*Pecas!$D$20+N11*Pecas!$D$21+O11*Pecas!$D$7+P11*Pecas!$D$13+Q11*Pecas!$D$10+R11*Pecas!$D$14+S11*Pecas!$D$15+T11*Pecas!$D$16+U11*Pecas!$D$17</f>
        <v>9.3312</v>
      </c>
      <c r="W11" s="13" t="n">
        <f aca="false">L11*Pecas!$E$18+M11*Pecas!$E$20+N11*Pecas!$E$21+O11*Pecas!$E$7+P11*Pecas!$E$13+Q11*Pecas!$E$10+R11*Pecas!$E$14+S11*Pecas!$E$15+T11*Pecas!$E$16+U11*Pecas!$E$17</f>
        <v>170.8314</v>
      </c>
      <c r="X11" s="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3" t="s">
        <v>69</v>
      </c>
      <c r="C4" s="3" t="s">
        <v>118</v>
      </c>
      <c r="D4" s="3" t="s">
        <v>119</v>
      </c>
      <c r="E4" s="3" t="s">
        <v>120</v>
      </c>
      <c r="F4" s="3" t="s">
        <v>90</v>
      </c>
      <c r="G4" s="3" t="s">
        <v>121</v>
      </c>
    </row>
    <row r="5" customFormat="false" ht="15" hidden="false" customHeight="false" outlineLevel="0" collapsed="false">
      <c r="A5" s="4" t="s">
        <v>122</v>
      </c>
      <c r="B5" s="9" t="s">
        <v>93</v>
      </c>
      <c r="C5" s="14" t="n">
        <v>14</v>
      </c>
      <c r="D5" s="11" t="n">
        <f aca="false">C5*INDEX(Modulos!$I$5:$I$11,MATCH($B5,Modulos!$A$5:$A$11,0))</f>
        <v>10626</v>
      </c>
      <c r="E5" s="13" t="n">
        <f aca="false">C5*INDEX(Modulos!$W$5:$W$11,MATCH($B5,Modulos!$A$5:$A$11,0))</f>
        <v>4844.224</v>
      </c>
      <c r="F5" s="12" t="n">
        <f aca="false">C5*INDEX(Modulos!$V$5:$V$11,MATCH($B5,Modulos!$A$5:$A$11,0))</f>
        <v>263.9616</v>
      </c>
      <c r="G5" s="12" t="n">
        <f aca="false">C5*INDEX(Modulos!$I$5:$I$11,MATCH($B5,Modulos!$A$5:$A$11,0))*INDEX(Modulos!$H$5:$H$11,MATCH($B5,Modulos!$A$5:$A$11,0))/1000</f>
        <v>74.382</v>
      </c>
    </row>
    <row r="6" customFormat="false" ht="15" hidden="false" customHeight="false" outlineLevel="0" collapsed="false">
      <c r="A6" s="4" t="s">
        <v>123</v>
      </c>
      <c r="B6" s="9" t="s">
        <v>97</v>
      </c>
      <c r="C6" s="14" t="n">
        <v>4</v>
      </c>
      <c r="D6" s="11" t="n">
        <f aca="false">C6*INDEX(Modulos!$I$5:$I$11,MATCH($B6,Modulos!$A$5:$A$11,0))</f>
        <v>2636</v>
      </c>
      <c r="E6" s="13" t="n">
        <f aca="false">C6*INDEX(Modulos!$W$5:$W$11,MATCH($B6,Modulos!$A$5:$A$11,0))</f>
        <v>1217.6348</v>
      </c>
      <c r="F6" s="12" t="n">
        <f aca="false">C6*INDEX(Modulos!$V$5:$V$11,MATCH($B6,Modulos!$A$5:$A$11,0))</f>
        <v>66.6732</v>
      </c>
      <c r="G6" s="12" t="n">
        <f aca="false">C6*INDEX(Modulos!$I$5:$I$11,MATCH($B6,Modulos!$A$5:$A$11,0))*INDEX(Modulos!$H$5:$H$11,MATCH($B6,Modulos!$A$5:$A$11,0))/1000</f>
        <v>18.452</v>
      </c>
    </row>
    <row r="7" customFormat="false" ht="15" hidden="false" customHeight="false" outlineLevel="0" collapsed="false">
      <c r="A7" s="4" t="s">
        <v>124</v>
      </c>
      <c r="B7" s="9" t="s">
        <v>93</v>
      </c>
      <c r="C7" s="14" t="n">
        <v>8</v>
      </c>
      <c r="D7" s="11" t="n">
        <f aca="false">C7*INDEX(Modulos!$I$5:$I$11,MATCH($B7,Modulos!$A$5:$A$11,0))</f>
        <v>6072</v>
      </c>
      <c r="E7" s="13" t="n">
        <f aca="false">C7*INDEX(Modulos!$W$5:$W$11,MATCH($B7,Modulos!$A$5:$A$11,0))</f>
        <v>2768.128</v>
      </c>
      <c r="F7" s="12" t="n">
        <f aca="false">C7*INDEX(Modulos!$V$5:$V$11,MATCH($B7,Modulos!$A$5:$A$11,0))</f>
        <v>150.8352</v>
      </c>
      <c r="G7" s="12" t="n">
        <f aca="false">C7*INDEX(Modulos!$I$5:$I$11,MATCH($B7,Modulos!$A$5:$A$11,0))*INDEX(Modulos!$H$5:$H$11,MATCH($B7,Modulos!$A$5:$A$11,0))/1000</f>
        <v>42.504</v>
      </c>
    </row>
    <row r="8" customFormat="false" ht="15" hidden="false" customHeight="false" outlineLevel="0" collapsed="false">
      <c r="A8" s="4" t="s">
        <v>125</v>
      </c>
      <c r="B8" s="9" t="s">
        <v>100</v>
      </c>
      <c r="C8" s="14" t="n">
        <v>9</v>
      </c>
      <c r="D8" s="11" t="n">
        <f aca="false">C8*INDEX(Modulos!$I$5:$I$11,MATCH($B8,Modulos!$A$5:$A$11,0))</f>
        <v>6831</v>
      </c>
      <c r="E8" s="13" t="n">
        <f aca="false">C8*INDEX(Modulos!$W$5:$W$11,MATCH($B8,Modulos!$A$5:$A$11,0))</f>
        <v>2276.424</v>
      </c>
      <c r="F8" s="12" t="n">
        <f aca="false">C8*INDEX(Modulos!$V$5:$V$11,MATCH($B8,Modulos!$A$5:$A$11,0))</f>
        <v>123.948</v>
      </c>
      <c r="G8" s="12" t="n">
        <f aca="false">C8*INDEX(Modulos!$I$5:$I$11,MATCH($B8,Modulos!$A$5:$A$11,0))*INDEX(Modulos!$H$5:$H$11,MATCH($B8,Modulos!$A$5:$A$11,0))/1000</f>
        <v>34.155</v>
      </c>
    </row>
    <row r="9" customFormat="false" ht="15" hidden="false" customHeight="false" outlineLevel="0" collapsed="false">
      <c r="A9" s="4" t="s">
        <v>126</v>
      </c>
      <c r="B9" s="9" t="s">
        <v>93</v>
      </c>
      <c r="C9" s="14" t="n">
        <v>3</v>
      </c>
      <c r="D9" s="11" t="n">
        <f aca="false">C9*INDEX(Modulos!$I$5:$I$11,MATCH($B9,Modulos!$A$5:$A$11,0))</f>
        <v>2277</v>
      </c>
      <c r="E9" s="13" t="n">
        <f aca="false">C9*INDEX(Modulos!$W$5:$W$11,MATCH($B9,Modulos!$A$5:$A$11,0))</f>
        <v>1038.048</v>
      </c>
      <c r="F9" s="12" t="n">
        <f aca="false">C9*INDEX(Modulos!$V$5:$V$11,MATCH($B9,Modulos!$A$5:$A$11,0))</f>
        <v>56.5632</v>
      </c>
      <c r="G9" s="12" t="n">
        <f aca="false">C9*INDEX(Modulos!$I$5:$I$11,MATCH($B9,Modulos!$A$5:$A$11,0))*INDEX(Modulos!$H$5:$H$11,MATCH($B9,Modulos!$A$5:$A$11,0))/1000</f>
        <v>15.939</v>
      </c>
    </row>
    <row r="10" customFormat="false" ht="15" hidden="false" customHeight="false" outlineLevel="0" collapsed="false">
      <c r="A10" s="4" t="s">
        <v>127</v>
      </c>
      <c r="B10" s="9" t="s">
        <v>112</v>
      </c>
      <c r="C10" s="14" t="n">
        <v>2</v>
      </c>
      <c r="D10" s="11" t="n">
        <f aca="false">C10*INDEX(Modulos!$I$5:$I$11,MATCH($B10,Modulos!$A$5:$A$11,0))</f>
        <v>1518</v>
      </c>
      <c r="E10" s="13" t="n">
        <f aca="false">C10*INDEX(Modulos!$W$5:$W$11,MATCH($B10,Modulos!$A$5:$A$11,0))</f>
        <v>341.6628</v>
      </c>
      <c r="F10" s="12" t="n">
        <f aca="false">C10*INDEX(Modulos!$V$5:$V$11,MATCH($B10,Modulos!$A$5:$A$11,0))</f>
        <v>18.6624</v>
      </c>
      <c r="G10" s="12" t="n">
        <f aca="false">C10*INDEX(Modulos!$I$5:$I$11,MATCH($B10,Modulos!$A$5:$A$11,0))*INDEX(Modulos!$H$5:$H$11,MATCH($B10,Modulos!$A$5:$A$11,0))/1000</f>
        <v>4.554</v>
      </c>
    </row>
    <row r="11" customFormat="false" ht="15" hidden="false" customHeight="false" outlineLevel="0" collapsed="false">
      <c r="A11" s="4" t="s">
        <v>128</v>
      </c>
      <c r="B11" s="9" t="s">
        <v>20</v>
      </c>
      <c r="C11" s="14" t="n">
        <v>8</v>
      </c>
      <c r="D11" s="11" t="n">
        <f aca="false">C11*INDEX(Modulos!$I$5:$I$11,MATCH($B11,Modulos!$A$5:$A$11,0))</f>
        <v>6072</v>
      </c>
      <c r="E11" s="13" t="n">
        <f aca="false">C11*INDEX(Modulos!$W$5:$W$11,MATCH($B11,Modulos!$A$5:$A$11,0))</f>
        <v>1640.8208</v>
      </c>
      <c r="F11" s="12" t="n">
        <f aca="false">C11*INDEX(Modulos!$V$5:$V$11,MATCH($B11,Modulos!$A$5:$A$11,0))</f>
        <v>88.5384</v>
      </c>
      <c r="G11" s="12" t="n">
        <f aca="false">C11*INDEX(Modulos!$I$5:$I$11,MATCH($B11,Modulos!$A$5:$A$11,0))*INDEX(Modulos!$H$5:$H$11,MATCH($B11,Modulos!$A$5:$A$11,0))/1000</f>
        <v>18.216</v>
      </c>
    </row>
    <row r="12" customFormat="false" ht="15" hidden="false" customHeight="false" outlineLevel="0" collapsed="false">
      <c r="A12" s="4" t="s">
        <v>129</v>
      </c>
      <c r="B12" s="9" t="s">
        <v>103</v>
      </c>
      <c r="C12" s="14" t="n">
        <v>4</v>
      </c>
      <c r="D12" s="11" t="n">
        <f aca="false">C12*INDEX(Modulos!$I$5:$I$11,MATCH($B12,Modulos!$A$5:$A$11,0))</f>
        <v>3036</v>
      </c>
      <c r="E12" s="13" t="n">
        <f aca="false">C12*INDEX(Modulos!$W$5:$W$11,MATCH($B12,Modulos!$A$5:$A$11,0))</f>
        <v>795.2336</v>
      </c>
      <c r="F12" s="12" t="n">
        <f aca="false">C12*INDEX(Modulos!$V$5:$V$11,MATCH($B12,Modulos!$A$5:$A$11,0))</f>
        <v>43.328</v>
      </c>
      <c r="G12" s="12" t="n">
        <f aca="false">C12*INDEX(Modulos!$I$5:$I$11,MATCH($B12,Modulos!$A$5:$A$11,0))*INDEX(Modulos!$H$5:$H$11,MATCH($B12,Modulos!$A$5:$A$11,0))/1000</f>
        <v>12.144</v>
      </c>
    </row>
    <row r="13" customFormat="false" ht="15" hidden="false" customHeight="false" outlineLevel="0" collapsed="false">
      <c r="A13" s="4" t="s">
        <v>130</v>
      </c>
      <c r="B13" s="9" t="s">
        <v>11</v>
      </c>
      <c r="C13" s="14" t="n">
        <v>6</v>
      </c>
      <c r="D13" s="11" t="n">
        <f aca="false">C13*INDEX(Modulos!$I$5:$I$11,MATCH($B13,Modulos!$A$5:$A$11,0))</f>
        <v>3954</v>
      </c>
      <c r="E13" s="13" t="n">
        <f aca="false">C13*INDEX(Modulos!$W$5:$W$11,MATCH($B13,Modulos!$A$5:$A$11,0))</f>
        <v>765.0192</v>
      </c>
      <c r="F13" s="12" t="n">
        <f aca="false">C13*INDEX(Modulos!$V$5:$V$11,MATCH($B13,Modulos!$A$5:$A$11,0))</f>
        <v>42.5136</v>
      </c>
      <c r="G13" s="12" t="n">
        <f aca="false">C13*INDEX(Modulos!$I$5:$I$11,MATCH($B13,Modulos!$A$5:$A$11,0))*INDEX(Modulos!$H$5:$H$11,MATCH($B13,Modulos!$A$5:$A$11,0))/1000</f>
        <v>15.816</v>
      </c>
    </row>
    <row r="14" customFormat="false" ht="15" hidden="false" customHeight="false" outlineLevel="0" collapsed="false">
      <c r="A14" s="4" t="s">
        <v>131</v>
      </c>
      <c r="B14" s="10"/>
      <c r="C14" s="4" t="n">
        <f aca="false">SUM(C5:C13)</f>
        <v>58</v>
      </c>
      <c r="D14" s="10"/>
      <c r="E14" s="15" t="n">
        <f aca="false">SUM(E5:E13)</f>
        <v>15687.1952</v>
      </c>
      <c r="F14" s="16" t="n">
        <f aca="false">SUM(F5:F13)</f>
        <v>855.0236</v>
      </c>
      <c r="G14" s="16" t="n">
        <f aca="false">SUM(G5:G13)</f>
        <v>236.162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3" t="s">
        <v>2</v>
      </c>
      <c r="B4" s="3" t="s">
        <v>134</v>
      </c>
      <c r="C4" s="3" t="s">
        <v>90</v>
      </c>
      <c r="D4" s="3" t="s">
        <v>120</v>
      </c>
      <c r="E4" s="3" t="s">
        <v>135</v>
      </c>
    </row>
    <row r="5" customFormat="false" ht="15" hidden="false" customHeight="false" outlineLevel="0" collapsed="false">
      <c r="A5" s="4" t="s">
        <v>8</v>
      </c>
      <c r="B5" s="11" t="n">
        <f aca="false">SUMPRODUCT(Showroom!$C$5:$C$13,IFERROR(INDEX(Modulos!$O$5:$O$11,MATCH(Showroom!$B$5:$B$13,Modulos!$A$5:$A$11,0)),0),--(IFERROR(INDEX(Modulos!$B$5:$B$11,MATCH(Showroom!$B$5:$B$13,Modulos!$A$5:$A$11,0)),"")="200×620"))</f>
        <v>24</v>
      </c>
      <c r="C5" s="12" t="n">
        <f aca="false">B5*Pecas!$D$5</f>
        <v>24.8208</v>
      </c>
      <c r="D5" s="13" t="n">
        <f aca="false">B5*Pecas!$E$5</f>
        <v>472.3224</v>
      </c>
      <c r="E5" s="8" t="s">
        <v>11</v>
      </c>
    </row>
    <row r="6" customFormat="false" ht="15" hidden="false" customHeight="false" outlineLevel="0" collapsed="false">
      <c r="A6" s="4" t="s">
        <v>12</v>
      </c>
      <c r="B6" s="11" t="n">
        <f aca="false">SUMPRODUCT(Showroom!$C$5:$C$13,IFERROR(INDEX(Modulos!$O$5:$O$11,MATCH(Showroom!$B$5:$B$13,Modulos!$A$5:$A$11,0)),0),--(IFERROR(INDEX(Modulos!$B$5:$B$11,MATCH(Showroom!$B$5:$B$13,Modulos!$A$5:$A$11,0)),"")="305×620"))</f>
        <v>28</v>
      </c>
      <c r="C6" s="12" t="n">
        <f aca="false">B6*Pecas!$D$6</f>
        <v>44.1588</v>
      </c>
      <c r="D6" s="13" t="n">
        <f aca="false">B6*Pecas!$E$6</f>
        <v>840.3388</v>
      </c>
      <c r="E6" s="8" t="s">
        <v>136</v>
      </c>
    </row>
    <row r="7" customFormat="false" ht="15" hidden="false" customHeight="false" outlineLevel="0" collapsed="false">
      <c r="A7" s="4" t="s">
        <v>15</v>
      </c>
      <c r="B7" s="11" t="n">
        <f aca="false">SUMPRODUCT(Showroom!$C$5:$C$13,IFERROR(INDEX(Modulos!$O$5:$O$11,MATCH(Showroom!$B$5:$B$13,Modulos!$A$5:$A$11,0)),0),--(IFERROR(INDEX(Modulos!$B$5:$B$11,MATCH(Showroom!$B$5:$B$13,Modulos!$A$5:$A$11,0)),"")="305×725"))</f>
        <v>242</v>
      </c>
      <c r="C7" s="12" t="n">
        <f aca="false">B7*Pecas!$D$7</f>
        <v>446.2964</v>
      </c>
      <c r="D7" s="13" t="n">
        <f aca="false">B7*Pecas!$E$7</f>
        <v>8492.9416</v>
      </c>
      <c r="E7" s="8" t="s">
        <v>137</v>
      </c>
    </row>
    <row r="8" customFormat="false" ht="15" hidden="false" customHeight="false" outlineLevel="0" collapsed="false">
      <c r="A8" s="4" t="s">
        <v>18</v>
      </c>
      <c r="B8" s="11" t="n">
        <f aca="false">SUMPRODUCT(Showroom!$C$5:$C$13,IFERROR(INDEX(Modulos!$O$5:$O$11,MATCH(Showroom!$B$5:$B$13,Modulos!$A$5:$A$11,0)),0),--(IFERROR(INDEX(Modulos!$B$5:$B$11,MATCH(Showroom!$B$5:$B$13,Modulos!$A$5:$A$11,0)),"")="450×725"))</f>
        <v>24</v>
      </c>
      <c r="C8" s="12" t="n">
        <f aca="false">B8*Pecas!$D$8</f>
        <v>65.3016</v>
      </c>
      <c r="D8" s="13" t="n">
        <f aca="false">B8*Pecas!$E$8</f>
        <v>1242.7008</v>
      </c>
      <c r="E8" s="8" t="s">
        <v>138</v>
      </c>
    </row>
    <row r="9" customFormat="false" ht="15" hidden="false" customHeight="false" outlineLevel="0" collapsed="false">
      <c r="A9" s="4" t="s">
        <v>21</v>
      </c>
      <c r="B9" s="11" t="n">
        <f aca="false">SUMPRODUCT(Showroom!$C$5:$C$13,IFERROR(INDEX(Modulos!$Q$5:$Q$11,MATCH(Showroom!$B$5:$B$13,Modulos!$A$5:$A$11,0)),0),--(IFERROR(INDEX(Modulos!$C$5:$C$11,MATCH(Showroom!$B$5:$B$13,Modulos!$A$5:$A$11,0)),0)=183))</f>
        <v>48</v>
      </c>
      <c r="C9" s="12" t="n">
        <f aca="false">B9*Pecas!$D$9</f>
        <v>1.9872</v>
      </c>
      <c r="D9" s="13" t="n">
        <f aca="false">B9*Pecas!$E$9</f>
        <v>37.824</v>
      </c>
      <c r="E9" s="8" t="s">
        <v>11</v>
      </c>
    </row>
    <row r="10" customFormat="false" ht="15" hidden="false" customHeight="false" outlineLevel="0" collapsed="false">
      <c r="A10" s="4" t="s">
        <v>25</v>
      </c>
      <c r="B10" s="11" t="n">
        <f aca="false">SUMPRODUCT(Showroom!$C$5:$C$13,IFERROR(INDEX(Modulos!$Q$5:$Q$11,MATCH(Showroom!$B$5:$B$13,Modulos!$A$5:$A$11,0)),0),--(IFERROR(INDEX(Modulos!$C$5:$C$11,MATCH(Showroom!$B$5:$B$13,Modulos!$A$5:$A$11,0)),0)=287))</f>
        <v>540</v>
      </c>
      <c r="C10" s="12" t="n">
        <f aca="false">B10*Pecas!$D$10</f>
        <v>35.046</v>
      </c>
      <c r="D10" s="13" t="n">
        <f aca="false">B10*Pecas!$E$10</f>
        <v>667.386</v>
      </c>
      <c r="E10" s="8" t="s">
        <v>137</v>
      </c>
    </row>
    <row r="11" customFormat="false" ht="15" hidden="false" customHeight="false" outlineLevel="0" collapsed="false">
      <c r="A11" s="4" t="s">
        <v>29</v>
      </c>
      <c r="B11" s="11" t="n">
        <f aca="false">SUMPRODUCT(Showroom!$C$5:$C$13,IFERROR(INDEX(Modulos!$Q$5:$Q$11,MATCH(Showroom!$B$5:$B$13,Modulos!$A$5:$A$11,0)),0),--(IFERROR(INDEX(Modulos!$C$5:$C$11,MATCH(Showroom!$B$5:$B$13,Modulos!$A$5:$A$11,0)),0)=415))</f>
        <v>48</v>
      </c>
      <c r="C11" s="12" t="n">
        <f aca="false">B11*Pecas!$D$11</f>
        <v>4.5072</v>
      </c>
      <c r="D11" s="13" t="n">
        <f aca="false">B11*Pecas!$E$11</f>
        <v>85.776</v>
      </c>
      <c r="E11" s="8" t="s">
        <v>138</v>
      </c>
    </row>
    <row r="12" customFormat="false" ht="15" hidden="false" customHeight="false" outlineLevel="0" collapsed="false">
      <c r="A12" s="4" t="s">
        <v>33</v>
      </c>
      <c r="B12" s="11" t="n">
        <f aca="false">SUMPRODUCT(Showroom!$C$5:$C$13,IFERROR(INDEX(Modulos!$P$5:$P$11,MATCH(Showroom!$B$5:$B$13,Modulos!$A$5:$A$11,0)),0),--(IFERROR(INDEX(Modulos!$D$5:$D$11,MATCH(Showroom!$B$5:$B$13,Modulos!$A$5:$A$11,0)),0)=617))</f>
        <v>104</v>
      </c>
      <c r="C12" s="12" t="n">
        <f aca="false">B12*Pecas!$D$12</f>
        <v>14.5184</v>
      </c>
      <c r="D12" s="13" t="n">
        <f aca="false">B12*Pecas!$E$12</f>
        <v>276.3176</v>
      </c>
      <c r="E12" s="8" t="s">
        <v>139</v>
      </c>
    </row>
    <row r="13" customFormat="false" ht="15" hidden="false" customHeight="false" outlineLevel="0" collapsed="false">
      <c r="A13" s="4" t="s">
        <v>37</v>
      </c>
      <c r="B13" s="11" t="n">
        <f aca="false">SUMPRODUCT(Showroom!$C$5:$C$13,IFERROR(INDEX(Modulos!$P$5:$P$11,MATCH(Showroom!$B$5:$B$13,Modulos!$A$5:$A$11,0)),0),--(IFERROR(INDEX(Modulos!$D$5:$D$11,MATCH(Showroom!$B$5:$B$13,Modulos!$A$5:$A$11,0)),0)=717))</f>
        <v>536</v>
      </c>
      <c r="C13" s="12" t="n">
        <f aca="false">B13*Pecas!$D$13</f>
        <v>86.9392</v>
      </c>
      <c r="D13" s="13" t="n">
        <f aca="false">B13*Pecas!$E$13</f>
        <v>1654.9</v>
      </c>
      <c r="E13" s="8" t="s">
        <v>140</v>
      </c>
    </row>
    <row r="14" customFormat="false" ht="15" hidden="false" customHeight="false" outlineLevel="0" collapsed="false">
      <c r="A14" s="4" t="s">
        <v>41</v>
      </c>
      <c r="B14" s="11" t="n">
        <f aca="false">SUMPRODUCT(Showroom!$C$5:$C$13,IFERROR(INDEX(Modulos!$R$5:$R$11,MATCH(Showroom!$B$5:$B$13,Modulos!$A$5:$A$11,0)),0))</f>
        <v>820</v>
      </c>
      <c r="C14" s="12" t="n">
        <f aca="false">B14*Pecas!$D$14</f>
        <v>50.102</v>
      </c>
      <c r="D14" s="13" t="n">
        <f aca="false">B14*Pecas!$E$14</f>
        <v>953.332</v>
      </c>
      <c r="E14" s="8" t="s">
        <v>141</v>
      </c>
    </row>
    <row r="15" customFormat="false" ht="15" hidden="false" customHeight="false" outlineLevel="0" collapsed="false">
      <c r="A15" s="4" t="s">
        <v>45</v>
      </c>
      <c r="B15" s="11" t="n">
        <f aca="false">SUMPRODUCT(Showroom!$C$5:$C$13,IFERROR(INDEX(Modulos!$S$5:$S$11,MATCH(Showroom!$B$5:$B$13,Modulos!$A$5:$A$11,0)),0))</f>
        <v>136</v>
      </c>
      <c r="C15" s="12" t="n">
        <f aca="false">B15*Pecas!$D$15</f>
        <v>10.6488</v>
      </c>
      <c r="D15" s="13" t="n">
        <f aca="false">B15*Pecas!$E$15</f>
        <v>202.6264</v>
      </c>
      <c r="E15" s="8" t="s">
        <v>142</v>
      </c>
    </row>
    <row r="16" customFormat="false" ht="15" hidden="false" customHeight="false" outlineLevel="0" collapsed="false">
      <c r="A16" s="4" t="s">
        <v>49</v>
      </c>
      <c r="B16" s="11" t="n">
        <f aca="false">SUMPRODUCT(Showroom!$C$5:$C$13,IFERROR(INDEX(Modulos!$T$5:$T$11,MATCH(Showroom!$B$5:$B$13,Modulos!$A$5:$A$11,0)),0))</f>
        <v>92</v>
      </c>
      <c r="C16" s="12" t="n">
        <f aca="false">B16*Pecas!$D$16</f>
        <v>10.6812</v>
      </c>
      <c r="D16" s="13" t="n">
        <f aca="false">B16*Pecas!$E$16</f>
        <v>203.228</v>
      </c>
      <c r="E16" s="8" t="s">
        <v>143</v>
      </c>
    </row>
    <row r="17" customFormat="false" ht="15" hidden="false" customHeight="false" outlineLevel="0" collapsed="false">
      <c r="A17" s="4" t="s">
        <v>53</v>
      </c>
      <c r="B17" s="11" t="n">
        <f aca="false">SUMPRODUCT(Showroom!$C$5:$C$13,IFERROR(INDEX(Modulos!$U$5:$U$11,MATCH(Showroom!$B$5:$B$13,Modulos!$A$5:$A$11,0)),0))</f>
        <v>232</v>
      </c>
      <c r="C17" s="12" t="n">
        <f aca="false">B17*Pecas!$D$17</f>
        <v>3.1552</v>
      </c>
      <c r="D17" s="13" t="n">
        <f aca="false">B17*Pecas!$E$17</f>
        <v>59.9488</v>
      </c>
      <c r="E17" s="8"/>
    </row>
    <row r="18" customFormat="false" ht="15" hidden="false" customHeight="false" outlineLevel="0" collapsed="false">
      <c r="A18" s="4" t="s">
        <v>56</v>
      </c>
      <c r="B18" s="11" t="n">
        <f aca="false">SUMPRODUCT(Showroom!$C$5:$C$13,IFERROR(INDEX(Modulos!$L$5:$L$11,MATCH(Showroom!$B$5:$B$13,Modulos!$A$5:$A$11,0)),0))</f>
        <v>1272</v>
      </c>
      <c r="C18" s="12" t="n">
        <f aca="false">B18*Pecas!$D$18</f>
        <v>56.3496</v>
      </c>
      <c r="D18" s="13" t="n">
        <f aca="false">B18*Pecas!$E$18</f>
        <v>492.9</v>
      </c>
      <c r="E18" s="8" t="s">
        <v>144</v>
      </c>
    </row>
    <row r="19" customFormat="false" ht="15" hidden="false" customHeight="false" outlineLevel="0" collapsed="false">
      <c r="A19" s="4" t="s">
        <v>63</v>
      </c>
      <c r="B19" s="11" t="n">
        <f aca="false">SUMPRODUCT(Showroom!$C$5:$C$13,IFERROR(INDEX(Modulos!$M$5:$M$11,MATCH(Showroom!$B$5:$B$13,Modulos!$A$5:$A$11,0)),0))</f>
        <v>8</v>
      </c>
      <c r="C19" s="12" t="n">
        <f aca="false">B19*Pecas!$D$20</f>
        <v>0.256</v>
      </c>
      <c r="D19" s="13" t="n">
        <f aca="false">B19*Pecas!$E$20</f>
        <v>2.4024</v>
      </c>
      <c r="E19" s="8" t="s">
        <v>145</v>
      </c>
    </row>
    <row r="20" customFormat="false" ht="15" hidden="false" customHeight="false" outlineLevel="0" collapsed="false">
      <c r="A20" s="4" t="s">
        <v>65</v>
      </c>
      <c r="B20" s="11" t="n">
        <f aca="false">SUMPRODUCT(Showroom!$C$5:$C$13,IFERROR(INDEX(Modulos!$N$5:$N$11,MATCH(Showroom!$B$5:$B$13,Modulos!$A$5:$A$11,0)),0))</f>
        <v>232</v>
      </c>
      <c r="C20" s="12" t="n">
        <f aca="false">B20*Pecas!$D$21</f>
        <v>0.2552</v>
      </c>
      <c r="D20" s="13" t="n">
        <f aca="false">B20*Pecas!$E$21</f>
        <v>2.2504</v>
      </c>
      <c r="E20" s="8"/>
    </row>
    <row r="21" customFormat="false" ht="15" hidden="false" customHeight="false" outlineLevel="0" collapsed="false">
      <c r="A21" s="4" t="s">
        <v>60</v>
      </c>
      <c r="B21" s="11" t="n">
        <f aca="false">0</f>
        <v>0</v>
      </c>
      <c r="C21" s="12" t="n">
        <f aca="false">B21*Pecas!$D$19</f>
        <v>0</v>
      </c>
      <c r="D21" s="13" t="n">
        <f aca="false">B21*Pecas!$E$19</f>
        <v>0</v>
      </c>
      <c r="E21" s="8" t="s">
        <v>146</v>
      </c>
    </row>
    <row r="22" customFormat="false" ht="15" hidden="false" customHeight="false" outlineLevel="0" collapsed="false">
      <c r="A22" s="4" t="s">
        <v>147</v>
      </c>
      <c r="B22" s="10"/>
      <c r="C22" s="12" t="n">
        <f aca="false">SUM(C5:C21)</f>
        <v>855.0236</v>
      </c>
      <c r="D22" s="15" t="n">
        <f aca="false">SUM(D5:D21)</f>
        <v>15687.1952</v>
      </c>
      <c r="E22" s="10"/>
    </row>
    <row r="24" customFormat="false" ht="15" hidden="false" customHeight="true" outlineLevel="0" collapsed="false">
      <c r="A24" s="17" t="s">
        <v>148</v>
      </c>
      <c r="B24" s="17"/>
      <c r="C24" s="17"/>
      <c r="D24" s="17"/>
      <c r="E24" s="17"/>
    </row>
    <row r="25" customFormat="false" ht="15" hidden="false" customHeight="false" outlineLevel="0" collapsed="false">
      <c r="A25" s="17"/>
      <c r="B25" s="17"/>
      <c r="C25" s="17"/>
      <c r="D25" s="17"/>
      <c r="E25" s="17"/>
    </row>
  </sheetData>
  <mergeCells count="1">
    <mergeCell ref="A24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2026-09-10T16:27:45Z</dcterms:created>
  <dc:creator>openpyxl</dc:creator>
  <dc:description/>
  <dc:language>en-US</dc:language>
  <cp:lastModifiedBy/>
  <dcterms:modified xsi:type="dcterms:W3CDTF">2026-09-10T16:27:45Z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